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 + Round 4" sheetId="3" r:id="rId7"/>
    <sheet state="visible" name="Wins" sheetId="4" r:id="rId8"/>
  </sheets>
  <definedNames/>
  <calcPr/>
</workbook>
</file>

<file path=xl/sharedStrings.xml><?xml version="1.0" encoding="utf-8"?>
<sst xmlns="http://schemas.openxmlformats.org/spreadsheetml/2006/main" count="433" uniqueCount="141">
  <si>
    <t>Kings</t>
  </si>
  <si>
    <t>Blackhawks</t>
  </si>
  <si>
    <t>Penguins</t>
  </si>
  <si>
    <t>Ben</t>
  </si>
  <si>
    <t>Capitals</t>
  </si>
  <si>
    <t>Levi</t>
  </si>
  <si>
    <t>St. Louis Blues</t>
  </si>
  <si>
    <t>Lighting</t>
  </si>
  <si>
    <t>Avalanche</t>
  </si>
  <si>
    <t>Kyle</t>
  </si>
  <si>
    <t>Knights</t>
  </si>
  <si>
    <t xml:space="preserve">Position </t>
  </si>
  <si>
    <t>Panthers</t>
  </si>
  <si>
    <t xml:space="preserve">Player </t>
  </si>
  <si>
    <t>Team</t>
  </si>
  <si>
    <t>Points for Round</t>
  </si>
  <si>
    <t>Points when drafted</t>
  </si>
  <si>
    <t>Points</t>
  </si>
  <si>
    <t>Current Total Points</t>
  </si>
  <si>
    <t>Notes</t>
  </si>
  <si>
    <t>Forward 1</t>
  </si>
  <si>
    <t>Nathan MacKinnon</t>
  </si>
  <si>
    <t>Sam Reinhart</t>
  </si>
  <si>
    <t>Goalie points - 2 ponts per win + 2 for shutout</t>
  </si>
  <si>
    <t>Forward 2</t>
  </si>
  <si>
    <t>Brad Marchand</t>
  </si>
  <si>
    <t xml:space="preserve">Bruins </t>
  </si>
  <si>
    <t>Forward 3</t>
  </si>
  <si>
    <t>Alex Ovechkin</t>
  </si>
  <si>
    <t>Forward 4</t>
  </si>
  <si>
    <t>Elias Petterson</t>
  </si>
  <si>
    <t>Canucks</t>
  </si>
  <si>
    <t>Forward 5</t>
  </si>
  <si>
    <t>Ross Colton</t>
  </si>
  <si>
    <t>Anton Lundell</t>
  </si>
  <si>
    <t>Defense 1</t>
  </si>
  <si>
    <t>Noah Dobson</t>
  </si>
  <si>
    <t>Islanders</t>
  </si>
  <si>
    <t>Carter Verhaeghe</t>
  </si>
  <si>
    <t>Defense 2</t>
  </si>
  <si>
    <t>Shea Theodore</t>
  </si>
  <si>
    <t>Defense 3</t>
  </si>
  <si>
    <t>Charlie McAvoy</t>
  </si>
  <si>
    <t>Order</t>
  </si>
  <si>
    <t>Vladimir Tarasenko</t>
  </si>
  <si>
    <t>Goalie 1</t>
  </si>
  <si>
    <t>Panthers Goalie (Sergei Bobrovsky)</t>
  </si>
  <si>
    <t>Total</t>
  </si>
  <si>
    <t>Sam Bennett</t>
  </si>
  <si>
    <t>Seth Jarvis</t>
  </si>
  <si>
    <t xml:space="preserve">Hurricanes </t>
  </si>
  <si>
    <t>Dmitry Kulikov</t>
  </si>
  <si>
    <t>Brady Skijei</t>
  </si>
  <si>
    <t>Josh Manson</t>
  </si>
  <si>
    <t>(+3 because of Jacob Trouba for Round 3)</t>
  </si>
  <si>
    <t xml:space="preserve">Judah </t>
  </si>
  <si>
    <t>Aaraon Ekblad</t>
  </si>
  <si>
    <t>Leon Draisaitl</t>
  </si>
  <si>
    <t>Oilers</t>
  </si>
  <si>
    <t>Total across Rounds</t>
  </si>
  <si>
    <t>Niko Mikkola</t>
  </si>
  <si>
    <t xml:space="preserve">JT Miller </t>
  </si>
  <si>
    <t>Judah</t>
  </si>
  <si>
    <t>Matthew Tkachuk</t>
  </si>
  <si>
    <t>Jonathan Marchessault</t>
  </si>
  <si>
    <t>Last Updated</t>
  </si>
  <si>
    <t>Corey Perry</t>
  </si>
  <si>
    <t>Quinn Hughes</t>
  </si>
  <si>
    <t>Victor Hedman</t>
  </si>
  <si>
    <t>Lightning</t>
  </si>
  <si>
    <t>Current Max</t>
  </si>
  <si>
    <t>Drew Doughty</t>
  </si>
  <si>
    <t>Connor McDavid</t>
  </si>
  <si>
    <t>Chris Kreider</t>
  </si>
  <si>
    <t>Rangers</t>
  </si>
  <si>
    <t>David Pastrank</t>
  </si>
  <si>
    <t>Bruins</t>
  </si>
  <si>
    <t>Rangers (Igor Shesterkin)</t>
  </si>
  <si>
    <t>Wyatt Johnston</t>
  </si>
  <si>
    <t>Stars</t>
  </si>
  <si>
    <t>Nikita Zadorov</t>
  </si>
  <si>
    <t>Devon Toews</t>
  </si>
  <si>
    <t>Current Winner</t>
  </si>
  <si>
    <t xml:space="preserve">Kyle </t>
  </si>
  <si>
    <t>Nikita Kucherov</t>
  </si>
  <si>
    <t>Jamie Benn</t>
  </si>
  <si>
    <t>Oliver Ekman-Larsson</t>
  </si>
  <si>
    <t>K'Andre Miller</t>
  </si>
  <si>
    <t>David Pastrnak</t>
  </si>
  <si>
    <t>Artturi Lehkonen</t>
  </si>
  <si>
    <t>Mikko Rantanen</t>
  </si>
  <si>
    <t>Current Points</t>
  </si>
  <si>
    <t>Cody Ceci</t>
  </si>
  <si>
    <t>Zach Hyman</t>
  </si>
  <si>
    <t>Jake DeBrusk</t>
  </si>
  <si>
    <t>Mika Zibanejad</t>
  </si>
  <si>
    <t>Evan Bouchard</t>
  </si>
  <si>
    <t>Rangers Goalie (Igor Shesterkin)</t>
  </si>
  <si>
    <t>Statistics</t>
  </si>
  <si>
    <t>Vincent Trocheck</t>
  </si>
  <si>
    <t>Jason Robertson</t>
  </si>
  <si>
    <t>Tyler Seguin</t>
  </si>
  <si>
    <t>Adam Fox</t>
  </si>
  <si>
    <t>Morgan Rielly</t>
  </si>
  <si>
    <t>Leafs</t>
  </si>
  <si>
    <t>Roope Hintz</t>
  </si>
  <si>
    <t>Canucks Goalie (Thatcher Demko)</t>
  </si>
  <si>
    <t>Ryan Nugent-Hopkins</t>
  </si>
  <si>
    <t>Hampus Lindholm</t>
  </si>
  <si>
    <t>Gustav Forsling</t>
  </si>
  <si>
    <t>Evan Rodrigues</t>
  </si>
  <si>
    <t>Oilers Goalie</t>
  </si>
  <si>
    <t>Scoring</t>
  </si>
  <si>
    <t>Ryan Suter</t>
  </si>
  <si>
    <t xml:space="preserve">Levi </t>
  </si>
  <si>
    <t>Points = goals + assists.</t>
  </si>
  <si>
    <t>Auston Matthews</t>
  </si>
  <si>
    <t>goalie is 2 points/win + 2 for shutouts</t>
  </si>
  <si>
    <t>Artemi Panarin</t>
  </si>
  <si>
    <t>Mitch Marner</t>
  </si>
  <si>
    <t>Pierre-Luc Dubois</t>
  </si>
  <si>
    <t>Teams Scored</t>
  </si>
  <si>
    <t>Brandon Mountour</t>
  </si>
  <si>
    <t>Cale Makar</t>
  </si>
  <si>
    <t>Aleksander Barkov</t>
  </si>
  <si>
    <t>Roman Josi</t>
  </si>
  <si>
    <t>Predators</t>
  </si>
  <si>
    <t>Josh Morrissey</t>
  </si>
  <si>
    <t>Jets</t>
  </si>
  <si>
    <t>Brock Boeser</t>
  </si>
  <si>
    <t>Round 1 Point Potential per Series</t>
  </si>
  <si>
    <t>Stars Goalie (Jake Oettinger)</t>
  </si>
  <si>
    <t>Hurricanes Goalie (Pyotr Kochetkov)</t>
  </si>
  <si>
    <t>Hurricanes</t>
  </si>
  <si>
    <t>Miro Heiskanen</t>
  </si>
  <si>
    <t>Round 2 Point Potential per Series</t>
  </si>
  <si>
    <t>Avalanche Goalie</t>
  </si>
  <si>
    <t>McDavid</t>
  </si>
  <si>
    <t>Makar</t>
  </si>
  <si>
    <t>Round 3 Point Potential per Series</t>
  </si>
  <si>
    <t>Oilers Goalie (Stuart Skinner)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</si>
</sst>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u/>
      <sz val="10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 vertical="center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Fill="1" applyFont="1"/>
    <xf borderId="0" fillId="3" fontId="2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4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2" numFmtId="0" xfId="0" applyFill="1" applyFont="1"/>
    <xf borderId="0" fillId="5" fontId="2" numFmtId="0" xfId="0" applyAlignment="1" applyFill="1" applyFont="1">
      <alignment readingOrder="0" vertical="center"/>
    </xf>
    <xf borderId="0" fillId="5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2" numFmtId="0" xfId="0" applyFill="1" applyFont="1"/>
    <xf borderId="0" fillId="6" fontId="2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3</xdr:row>
      <xdr:rowOff>152400</xdr:rowOff>
    </xdr:from>
    <xdr:ext cx="2705100" cy="3609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</xdr:row>
      <xdr:rowOff>152400</xdr:rowOff>
    </xdr:from>
    <xdr:ext cx="2705100" cy="3609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152400</xdr:rowOff>
    </xdr:from>
    <xdr:ext cx="2705100" cy="3609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8.0"/>
    <col customWidth="1" min="4" max="4" width="16.0"/>
    <col customWidth="1" min="6" max="6" width="15.75"/>
    <col customWidth="1" min="7" max="7" width="13.88"/>
    <col customWidth="1" min="8" max="8" width="38.63"/>
  </cols>
  <sheetData>
    <row r="1">
      <c r="A1" s="2"/>
      <c r="B1" s="3" t="s">
        <v>11</v>
      </c>
      <c r="C1" s="3" t="s">
        <v>13</v>
      </c>
      <c r="D1" s="3" t="s">
        <v>14</v>
      </c>
      <c r="E1" s="3" t="s">
        <v>17</v>
      </c>
      <c r="F1" s="2"/>
      <c r="G1" s="2"/>
      <c r="H1" s="3" t="s">
        <v>19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3</v>
      </c>
      <c r="B2" s="5" t="s">
        <v>20</v>
      </c>
      <c r="C2" s="5" t="s">
        <v>21</v>
      </c>
      <c r="D2" s="5" t="s">
        <v>8</v>
      </c>
      <c r="E2" s="5">
        <v>9.0</v>
      </c>
      <c r="F2" s="2"/>
      <c r="G2" s="2"/>
      <c r="H2" s="6" t="s">
        <v>23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B3" s="5" t="s">
        <v>24</v>
      </c>
      <c r="C3" s="5" t="s">
        <v>25</v>
      </c>
      <c r="D3" s="5" t="s">
        <v>26</v>
      </c>
      <c r="E3" s="5">
        <v>8.0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B4" s="5" t="s">
        <v>27</v>
      </c>
      <c r="C4" s="5" t="s">
        <v>28</v>
      </c>
      <c r="D4" s="5" t="s">
        <v>4</v>
      </c>
      <c r="E4" s="5">
        <v>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B5" s="5" t="s">
        <v>29</v>
      </c>
      <c r="C5" s="5" t="s">
        <v>30</v>
      </c>
      <c r="D5" s="5" t="s">
        <v>31</v>
      </c>
      <c r="E5" s="5">
        <v>3.0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B6" s="5" t="s">
        <v>32</v>
      </c>
      <c r="C6" s="5" t="s">
        <v>33</v>
      </c>
      <c r="D6" s="5" t="s">
        <v>8</v>
      </c>
      <c r="E6" s="5">
        <v>3.0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B7" s="5" t="s">
        <v>35</v>
      </c>
      <c r="C7" s="5" t="s">
        <v>36</v>
      </c>
      <c r="D7" s="5" t="s">
        <v>37</v>
      </c>
      <c r="E7" s="5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B8" s="5" t="s">
        <v>39</v>
      </c>
      <c r="C8" s="5" t="s">
        <v>40</v>
      </c>
      <c r="D8" s="5" t="s">
        <v>10</v>
      </c>
      <c r="E8" s="5">
        <v>0.0</v>
      </c>
      <c r="F8" s="2"/>
      <c r="G8" s="2"/>
      <c r="H8" s="2"/>
      <c r="I8" s="2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B9" s="5" t="s">
        <v>41</v>
      </c>
      <c r="C9" s="5" t="s">
        <v>42</v>
      </c>
      <c r="D9" s="5" t="s">
        <v>26</v>
      </c>
      <c r="E9" s="5">
        <v>4.0</v>
      </c>
      <c r="F9" s="2"/>
      <c r="G9" s="3" t="s">
        <v>43</v>
      </c>
      <c r="H9" s="2"/>
      <c r="I9" s="2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B10" s="5" t="s">
        <v>45</v>
      </c>
      <c r="C10" s="5" t="s">
        <v>46</v>
      </c>
      <c r="D10" s="5" t="s">
        <v>12</v>
      </c>
      <c r="E10" s="5">
        <v>8.0</v>
      </c>
      <c r="G10" s="6" t="s">
        <v>5</v>
      </c>
      <c r="H10" s="2"/>
      <c r="I10" s="2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B11" s="7" t="s">
        <v>47</v>
      </c>
      <c r="C11" s="8"/>
      <c r="D11" s="8"/>
      <c r="E11" s="8">
        <f>sum(E2:E10)</f>
        <v>36</v>
      </c>
      <c r="G11" s="6" t="s">
        <v>3</v>
      </c>
      <c r="H11" s="2"/>
      <c r="I11" s="2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 t="s">
        <v>55</v>
      </c>
      <c r="B12" s="10" t="s">
        <v>20</v>
      </c>
      <c r="C12" s="10" t="s">
        <v>57</v>
      </c>
      <c r="D12" s="10" t="s">
        <v>58</v>
      </c>
      <c r="E12" s="10">
        <v>10.0</v>
      </c>
      <c r="F12" s="6"/>
      <c r="G12" s="6" t="s">
        <v>9</v>
      </c>
      <c r="H12" s="2"/>
      <c r="I12" s="2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B13" s="10" t="s">
        <v>24</v>
      </c>
      <c r="C13" s="10" t="s">
        <v>61</v>
      </c>
      <c r="D13" s="10" t="s">
        <v>31</v>
      </c>
      <c r="E13" s="10">
        <v>6.0</v>
      </c>
      <c r="F13" s="6"/>
      <c r="G13" s="6" t="s">
        <v>62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B14" s="10" t="s">
        <v>27</v>
      </c>
      <c r="C14" s="10" t="s">
        <v>63</v>
      </c>
      <c r="D14" s="10" t="s">
        <v>12</v>
      </c>
      <c r="E14" s="10">
        <v>9.0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B15" s="10" t="s">
        <v>29</v>
      </c>
      <c r="C15" s="10" t="s">
        <v>64</v>
      </c>
      <c r="D15" s="10" t="s">
        <v>10</v>
      </c>
      <c r="E15" s="10">
        <v>4.0</v>
      </c>
      <c r="F15" s="2"/>
      <c r="G15" s="3" t="s">
        <v>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B16" s="10" t="s">
        <v>32</v>
      </c>
      <c r="C16" s="10" t="s">
        <v>66</v>
      </c>
      <c r="D16" s="10" t="s">
        <v>58</v>
      </c>
      <c r="E16" s="10">
        <v>0.0</v>
      </c>
      <c r="F16" s="2"/>
      <c r="G16" s="11">
        <v>45417.0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B17" s="10" t="s">
        <v>35</v>
      </c>
      <c r="C17" s="10" t="s">
        <v>67</v>
      </c>
      <c r="D17" s="10" t="s">
        <v>31</v>
      </c>
      <c r="E17" s="10">
        <v>5.0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B18" s="10" t="s">
        <v>39</v>
      </c>
      <c r="C18" s="10" t="s">
        <v>68</v>
      </c>
      <c r="D18" s="10" t="s">
        <v>69</v>
      </c>
      <c r="E18" s="10">
        <v>7.0</v>
      </c>
      <c r="F18" s="2"/>
      <c r="G18" s="12" t="s">
        <v>70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B19" s="10" t="s">
        <v>41</v>
      </c>
      <c r="C19" s="10" t="s">
        <v>71</v>
      </c>
      <c r="D19" s="10" t="s">
        <v>0</v>
      </c>
      <c r="E19" s="10">
        <v>3.0</v>
      </c>
      <c r="F19" s="2"/>
      <c r="G19" s="13">
        <f>MAX(E11, E21, E31, E41)</f>
        <v>53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B20" s="10" t="s">
        <v>45</v>
      </c>
      <c r="C20" s="10" t="s">
        <v>77</v>
      </c>
      <c r="D20" s="10" t="s">
        <v>74</v>
      </c>
      <c r="E20" s="10">
        <v>8.0</v>
      </c>
      <c r="F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B21" s="15" t="s">
        <v>47</v>
      </c>
      <c r="C21" s="16"/>
      <c r="D21" s="16"/>
      <c r="E21" s="16">
        <f>sum(E12:E20)</f>
        <v>52</v>
      </c>
      <c r="F21" s="2"/>
      <c r="G21" s="3" t="s">
        <v>82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" t="s">
        <v>83</v>
      </c>
      <c r="B22" s="18" t="s">
        <v>20</v>
      </c>
      <c r="C22" s="18" t="s">
        <v>84</v>
      </c>
      <c r="D22" s="18" t="s">
        <v>69</v>
      </c>
      <c r="E22" s="18">
        <v>7.0</v>
      </c>
      <c r="F22" s="2"/>
      <c r="G22" s="6" t="str">
        <f t="array" ref="G22">INDIRECT(ADDRESS(1+MATCH(G19, E11:E41, 0), 1))</f>
        <v>Kyle 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B23" s="18" t="s">
        <v>24</v>
      </c>
      <c r="C23" s="18" t="s">
        <v>88</v>
      </c>
      <c r="D23" s="18" t="s">
        <v>76</v>
      </c>
      <c r="E23" s="18">
        <v>5.0</v>
      </c>
      <c r="F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B24" s="18" t="s">
        <v>27</v>
      </c>
      <c r="C24" s="18" t="s">
        <v>90</v>
      </c>
      <c r="D24" s="18" t="s">
        <v>8</v>
      </c>
      <c r="E24" s="18">
        <v>9.0</v>
      </c>
      <c r="F24" s="6" t="s">
        <v>16</v>
      </c>
      <c r="G24" s="6" t="s">
        <v>91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B25" s="18" t="s">
        <v>29</v>
      </c>
      <c r="C25" s="18" t="s">
        <v>93</v>
      </c>
      <c r="D25" s="18" t="s">
        <v>58</v>
      </c>
      <c r="E25" s="18">
        <f>G25-F25</f>
        <v>3</v>
      </c>
      <c r="F25" s="6">
        <v>5.0</v>
      </c>
      <c r="G25" s="6">
        <v>8.0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B26" s="18" t="s">
        <v>32</v>
      </c>
      <c r="C26" s="18" t="s">
        <v>94</v>
      </c>
      <c r="D26" s="18" t="s">
        <v>76</v>
      </c>
      <c r="E26" s="18">
        <v>5.0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B27" s="18" t="s">
        <v>35</v>
      </c>
      <c r="C27" s="18" t="s">
        <v>96</v>
      </c>
      <c r="D27" s="18" t="s">
        <v>58</v>
      </c>
      <c r="E27" s="18">
        <v>9.0</v>
      </c>
      <c r="F27" s="2"/>
      <c r="G27" s="2"/>
      <c r="H27" s="20" t="s">
        <v>98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B28" s="18" t="s">
        <v>39</v>
      </c>
      <c r="C28" s="18" t="s">
        <v>102</v>
      </c>
      <c r="D28" s="18" t="s">
        <v>74</v>
      </c>
      <c r="E28" s="18">
        <v>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B29" s="18" t="s">
        <v>41</v>
      </c>
      <c r="C29" s="18" t="s">
        <v>103</v>
      </c>
      <c r="D29" s="18" t="s">
        <v>104</v>
      </c>
      <c r="E29" s="18">
        <v>3.0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B30" s="18" t="s">
        <v>45</v>
      </c>
      <c r="C30" s="18" t="s">
        <v>106</v>
      </c>
      <c r="D30" s="18" t="s">
        <v>31</v>
      </c>
      <c r="E30" s="18">
        <v>10.0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B31" s="22" t="s">
        <v>47</v>
      </c>
      <c r="C31" s="23"/>
      <c r="D31" s="23"/>
      <c r="E31" s="23">
        <f>sum(E22:E30)</f>
        <v>53</v>
      </c>
      <c r="F31" s="2"/>
      <c r="G31" s="2"/>
      <c r="H31" s="6" t="s">
        <v>112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4" t="s">
        <v>114</v>
      </c>
      <c r="B32" s="25" t="s">
        <v>20</v>
      </c>
      <c r="C32" s="25" t="s">
        <v>72</v>
      </c>
      <c r="D32" s="25" t="s">
        <v>58</v>
      </c>
      <c r="E32" s="25">
        <v>12.0</v>
      </c>
      <c r="F32" s="2"/>
      <c r="G32" s="2"/>
      <c r="H32" s="6" t="s">
        <v>115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B33" s="25" t="s">
        <v>24</v>
      </c>
      <c r="C33" s="25" t="s">
        <v>116</v>
      </c>
      <c r="D33" s="25" t="s">
        <v>104</v>
      </c>
      <c r="E33" s="25">
        <v>4.0</v>
      </c>
      <c r="F33" s="2"/>
      <c r="G33" s="2"/>
      <c r="H33" s="6" t="s">
        <v>117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B34" s="25" t="s">
        <v>27</v>
      </c>
      <c r="C34" s="25" t="s">
        <v>118</v>
      </c>
      <c r="D34" s="25" t="s">
        <v>74</v>
      </c>
      <c r="E34" s="25">
        <v>3.0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B35" s="25" t="s">
        <v>29</v>
      </c>
      <c r="C35" s="25" t="s">
        <v>119</v>
      </c>
      <c r="D35" s="25" t="s">
        <v>104</v>
      </c>
      <c r="E35" s="25">
        <v>3.0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B36" s="25" t="s">
        <v>32</v>
      </c>
      <c r="C36" s="25" t="s">
        <v>120</v>
      </c>
      <c r="D36" s="25" t="s">
        <v>0</v>
      </c>
      <c r="E36" s="25">
        <v>1.0</v>
      </c>
      <c r="F36" s="2"/>
      <c r="G36" s="2"/>
      <c r="H36" s="6" t="s">
        <v>121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B37" s="25" t="s">
        <v>35</v>
      </c>
      <c r="C37" s="25" t="s">
        <v>123</v>
      </c>
      <c r="D37" s="25" t="s">
        <v>8</v>
      </c>
      <c r="E37" s="25">
        <v>9.0</v>
      </c>
      <c r="F37" s="2"/>
      <c r="G37" s="2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B38" s="25" t="s">
        <v>39</v>
      </c>
      <c r="C38" s="25" t="s">
        <v>125</v>
      </c>
      <c r="D38" s="25" t="s">
        <v>126</v>
      </c>
      <c r="E38" s="25">
        <v>3.0</v>
      </c>
      <c r="F38" s="2"/>
      <c r="G38" s="2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B39" s="25" t="s">
        <v>41</v>
      </c>
      <c r="C39" s="25" t="s">
        <v>127</v>
      </c>
      <c r="D39" s="25" t="s">
        <v>128</v>
      </c>
      <c r="E39" s="25">
        <v>4.0</v>
      </c>
      <c r="F39" s="2"/>
      <c r="G39" s="2"/>
      <c r="H39" s="6" t="s">
        <v>130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B40" s="25" t="s">
        <v>45</v>
      </c>
      <c r="C40" s="25" t="s">
        <v>132</v>
      </c>
      <c r="D40" s="25" t="s">
        <v>133</v>
      </c>
      <c r="E40" s="25">
        <v>8.0</v>
      </c>
      <c r="F40" s="2"/>
      <c r="G40" s="2"/>
      <c r="H40" s="6">
        <f>(SUM(E2:E10) + SUM(E12:E20) + SUM(E22:E30) + SUM(E32:E40)) / 8</f>
        <v>23.5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B41" s="27" t="s">
        <v>47</v>
      </c>
      <c r="C41" s="28"/>
      <c r="D41" s="28"/>
      <c r="E41" s="28">
        <f>sum(E32:E40)</f>
        <v>47</v>
      </c>
      <c r="F41" s="2"/>
      <c r="G41" s="2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2:A11"/>
    <mergeCell ref="A12:A21"/>
    <mergeCell ref="A22:A31"/>
    <mergeCell ref="A32:A41"/>
  </mergeCells>
  <hyperlinks>
    <hyperlink r:id="rId1" ref="H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8.0"/>
    <col customWidth="1" min="4" max="4" width="16.0"/>
    <col customWidth="1" min="5" max="5" width="14.5"/>
    <col customWidth="1" min="6" max="7" width="16.88"/>
    <col customWidth="1" min="8" max="8" width="15.75"/>
    <col customWidth="1" min="9" max="9" width="13.88"/>
    <col customWidth="1" min="10" max="10" width="38.63"/>
  </cols>
  <sheetData>
    <row r="1">
      <c r="A1" s="2"/>
      <c r="B1" s="3" t="s">
        <v>11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18</v>
      </c>
      <c r="H1" s="2"/>
      <c r="I1" s="2"/>
      <c r="J1" s="3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3</v>
      </c>
      <c r="B2" s="5" t="s">
        <v>20</v>
      </c>
      <c r="C2" s="5" t="s">
        <v>21</v>
      </c>
      <c r="D2" s="5" t="s">
        <v>8</v>
      </c>
      <c r="E2" s="5">
        <f t="shared" ref="E2:E10" si="1">G2 - F2</f>
        <v>5</v>
      </c>
      <c r="F2" s="5">
        <v>9.0</v>
      </c>
      <c r="G2" s="5">
        <v>14.0</v>
      </c>
      <c r="H2" s="2"/>
      <c r="I2" s="2"/>
      <c r="J2" s="6" t="s">
        <v>23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5" t="s">
        <v>24</v>
      </c>
      <c r="C3" s="5" t="s">
        <v>25</v>
      </c>
      <c r="D3" s="5" t="s">
        <v>26</v>
      </c>
      <c r="E3" s="5">
        <f t="shared" si="1"/>
        <v>2</v>
      </c>
      <c r="F3" s="5">
        <v>8.0</v>
      </c>
      <c r="G3" s="5">
        <v>10.0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B4" s="5" t="s">
        <v>27</v>
      </c>
      <c r="C4" s="5" t="s">
        <v>38</v>
      </c>
      <c r="D4" s="5" t="s">
        <v>12</v>
      </c>
      <c r="E4" s="5">
        <f t="shared" si="1"/>
        <v>2</v>
      </c>
      <c r="F4" s="5">
        <v>9.0</v>
      </c>
      <c r="G4" s="5">
        <v>11.0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5" t="s">
        <v>29</v>
      </c>
      <c r="C5" s="5" t="s">
        <v>30</v>
      </c>
      <c r="D5" s="5" t="s">
        <v>31</v>
      </c>
      <c r="E5" s="5">
        <f t="shared" si="1"/>
        <v>3</v>
      </c>
      <c r="F5" s="5">
        <v>3.0</v>
      </c>
      <c r="G5" s="5">
        <v>6.0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B6" s="5" t="s">
        <v>32</v>
      </c>
      <c r="C6" s="5" t="s">
        <v>49</v>
      </c>
      <c r="D6" s="5" t="s">
        <v>50</v>
      </c>
      <c r="E6" s="5">
        <f t="shared" si="1"/>
        <v>2</v>
      </c>
      <c r="F6" s="5">
        <v>7.0</v>
      </c>
      <c r="G6" s="5">
        <v>9.0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B7" s="5" t="s">
        <v>35</v>
      </c>
      <c r="C7" s="5" t="s">
        <v>52</v>
      </c>
      <c r="D7" s="5" t="s">
        <v>50</v>
      </c>
      <c r="E7" s="5">
        <f t="shared" si="1"/>
        <v>4</v>
      </c>
      <c r="F7" s="5">
        <v>5.0</v>
      </c>
      <c r="G7" s="5">
        <v>9.0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B8" s="5" t="s">
        <v>39</v>
      </c>
      <c r="C8" s="5" t="s">
        <v>53</v>
      </c>
      <c r="D8" s="5" t="s">
        <v>8</v>
      </c>
      <c r="E8" s="5">
        <f t="shared" si="1"/>
        <v>2</v>
      </c>
      <c r="F8" s="5">
        <v>5.0</v>
      </c>
      <c r="G8" s="5">
        <v>7.0</v>
      </c>
      <c r="H8" s="2"/>
      <c r="I8" s="2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B9" s="5" t="s">
        <v>41</v>
      </c>
      <c r="C9" s="5" t="s">
        <v>42</v>
      </c>
      <c r="D9" s="5" t="s">
        <v>26</v>
      </c>
      <c r="E9" s="5">
        <f t="shared" si="1"/>
        <v>2</v>
      </c>
      <c r="F9" s="5">
        <v>4.0</v>
      </c>
      <c r="G9" s="5">
        <v>6.0</v>
      </c>
      <c r="H9" s="2"/>
      <c r="I9" s="3" t="s">
        <v>43</v>
      </c>
      <c r="J9" s="2"/>
      <c r="K9" s="2"/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B10" s="5" t="s">
        <v>45</v>
      </c>
      <c r="C10" s="5" t="s">
        <v>46</v>
      </c>
      <c r="D10" s="5" t="s">
        <v>12</v>
      </c>
      <c r="E10" s="5">
        <f t="shared" si="1"/>
        <v>8</v>
      </c>
      <c r="F10" s="5">
        <v>0.0</v>
      </c>
      <c r="G10" s="5">
        <v>8.0</v>
      </c>
      <c r="I10" s="6" t="s">
        <v>3</v>
      </c>
      <c r="J10" s="2"/>
      <c r="K10" s="2"/>
      <c r="L10" s="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B11" s="7" t="s">
        <v>59</v>
      </c>
      <c r="C11" s="8"/>
      <c r="D11" s="8"/>
      <c r="E11" s="8">
        <f>sum(E2:E10) + 'Round 1'!E11</f>
        <v>66</v>
      </c>
      <c r="F11" s="8"/>
      <c r="G11" s="8"/>
      <c r="I11" s="6" t="s">
        <v>5</v>
      </c>
      <c r="J11" s="2"/>
      <c r="K11" s="2"/>
      <c r="L11" s="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9" t="s">
        <v>55</v>
      </c>
      <c r="B12" s="10" t="s">
        <v>20</v>
      </c>
      <c r="C12" s="10" t="s">
        <v>57</v>
      </c>
      <c r="D12" s="10" t="s">
        <v>58</v>
      </c>
      <c r="E12" s="10">
        <f t="shared" ref="E12:E20" si="2">G12 - F12</f>
        <v>14</v>
      </c>
      <c r="F12" s="10">
        <v>10.0</v>
      </c>
      <c r="G12" s="10">
        <v>24.0</v>
      </c>
      <c r="H12" s="6"/>
      <c r="I12" s="6" t="s">
        <v>62</v>
      </c>
      <c r="J12" s="2"/>
      <c r="K12" s="2"/>
      <c r="L12" s="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B13" s="10" t="s">
        <v>24</v>
      </c>
      <c r="C13" s="10" t="s">
        <v>61</v>
      </c>
      <c r="D13" s="10" t="s">
        <v>31</v>
      </c>
      <c r="E13" s="10">
        <f t="shared" si="2"/>
        <v>6</v>
      </c>
      <c r="F13" s="10">
        <v>6.0</v>
      </c>
      <c r="G13" s="10">
        <v>12.0</v>
      </c>
      <c r="H13" s="6"/>
      <c r="I13" s="6" t="s">
        <v>9</v>
      </c>
      <c r="J13" s="2"/>
      <c r="K13" s="2"/>
      <c r="L13" s="2"/>
      <c r="M13" s="6"/>
      <c r="N13" s="6"/>
      <c r="O13" s="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B14" s="10" t="s">
        <v>27</v>
      </c>
      <c r="C14" s="10" t="s">
        <v>63</v>
      </c>
      <c r="D14" s="10" t="s">
        <v>12</v>
      </c>
      <c r="E14" s="10">
        <f t="shared" si="2"/>
        <v>5</v>
      </c>
      <c r="F14" s="10">
        <v>9.0</v>
      </c>
      <c r="G14" s="10">
        <v>14.0</v>
      </c>
      <c r="H14" s="2"/>
      <c r="I14" s="2"/>
      <c r="J14" s="2"/>
      <c r="K14" s="2"/>
      <c r="L14" s="2"/>
      <c r="M14" s="2"/>
      <c r="N14" s="6"/>
      <c r="O14" s="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B15" s="10" t="s">
        <v>29</v>
      </c>
      <c r="C15" s="10" t="s">
        <v>73</v>
      </c>
      <c r="D15" s="10" t="s">
        <v>74</v>
      </c>
      <c r="E15" s="10">
        <f t="shared" si="2"/>
        <v>5</v>
      </c>
      <c r="F15" s="10">
        <v>5.0</v>
      </c>
      <c r="G15" s="10">
        <v>10.0</v>
      </c>
      <c r="H15" s="2"/>
      <c r="I15" s="3" t="s">
        <v>65</v>
      </c>
      <c r="J15" s="2"/>
      <c r="K15" s="2"/>
      <c r="L15" s="2"/>
      <c r="M15" s="2"/>
      <c r="N15" s="6"/>
      <c r="O15" s="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B16" s="10" t="s">
        <v>32</v>
      </c>
      <c r="C16" s="10" t="s">
        <v>75</v>
      </c>
      <c r="D16" s="10" t="s">
        <v>76</v>
      </c>
      <c r="E16" s="10">
        <f t="shared" si="2"/>
        <v>3</v>
      </c>
      <c r="F16" s="10">
        <v>5.0</v>
      </c>
      <c r="G16" s="10">
        <v>8.0</v>
      </c>
      <c r="H16" s="2"/>
      <c r="I16" s="11">
        <v>45433.0</v>
      </c>
      <c r="J16" s="2"/>
      <c r="K16" s="2"/>
      <c r="L16" s="2"/>
      <c r="M16" s="2"/>
      <c r="N16" s="6"/>
      <c r="O16" s="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B17" s="10" t="s">
        <v>35</v>
      </c>
      <c r="C17" s="10" t="s">
        <v>67</v>
      </c>
      <c r="D17" s="10" t="s">
        <v>31</v>
      </c>
      <c r="E17" s="10">
        <f t="shared" si="2"/>
        <v>5</v>
      </c>
      <c r="F17" s="10">
        <v>5.0</v>
      </c>
      <c r="G17" s="10">
        <v>10.0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0" t="s">
        <v>39</v>
      </c>
      <c r="C18" s="10" t="s">
        <v>80</v>
      </c>
      <c r="D18" s="10" t="s">
        <v>31</v>
      </c>
      <c r="E18" s="10">
        <f t="shared" si="2"/>
        <v>5</v>
      </c>
      <c r="F18" s="10">
        <v>3.0</v>
      </c>
      <c r="G18" s="10">
        <v>8.0</v>
      </c>
      <c r="H18" s="2"/>
      <c r="I18" s="12" t="s">
        <v>70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10" t="s">
        <v>41</v>
      </c>
      <c r="C19" s="10" t="s">
        <v>81</v>
      </c>
      <c r="D19" s="10" t="s">
        <v>8</v>
      </c>
      <c r="E19" s="10">
        <f t="shared" si="2"/>
        <v>1</v>
      </c>
      <c r="F19" s="10">
        <v>5.0</v>
      </c>
      <c r="G19" s="10">
        <v>6.0</v>
      </c>
      <c r="H19" s="2"/>
      <c r="I19" s="13">
        <f>MAX(E11, E21, E31, E41)</f>
        <v>108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B20" s="10" t="s">
        <v>45</v>
      </c>
      <c r="C20" s="10" t="s">
        <v>77</v>
      </c>
      <c r="D20" s="10" t="s">
        <v>74</v>
      </c>
      <c r="E20" s="10">
        <f t="shared" si="2"/>
        <v>8</v>
      </c>
      <c r="F20" s="10">
        <v>0.0</v>
      </c>
      <c r="G20" s="10">
        <v>8.0</v>
      </c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B21" s="15" t="s">
        <v>59</v>
      </c>
      <c r="C21" s="16"/>
      <c r="D21" s="16"/>
      <c r="E21" s="16">
        <f>sum(E12:E20) + 'Round 1'!E21</f>
        <v>104</v>
      </c>
      <c r="F21" s="16"/>
      <c r="G21" s="16"/>
      <c r="H21" s="2"/>
      <c r="I21" s="3" t="s">
        <v>82</v>
      </c>
      <c r="J21" s="2"/>
      <c r="K21" s="2"/>
      <c r="L21" s="2"/>
      <c r="M21" s="2"/>
      <c r="N21" s="6"/>
      <c r="O21" s="6"/>
      <c r="P21" s="6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7" t="s">
        <v>83</v>
      </c>
      <c r="B22" s="18" t="s">
        <v>20</v>
      </c>
      <c r="C22" s="18" t="s">
        <v>89</v>
      </c>
      <c r="D22" s="18" t="s">
        <v>8</v>
      </c>
      <c r="E22" s="18">
        <f t="shared" ref="E22:E30" si="3">G22 - F22</f>
        <v>3</v>
      </c>
      <c r="F22" s="18">
        <v>8.0</v>
      </c>
      <c r="G22" s="18">
        <v>11.0</v>
      </c>
      <c r="H22" s="2"/>
      <c r="I22" s="6" t="str">
        <f t="array" ref="I22">INDIRECT(ADDRESS(1+MATCH(I19, E11:E41, 0), 1))</f>
        <v>Levi </v>
      </c>
      <c r="J22" s="2"/>
      <c r="K22" s="2"/>
      <c r="L22" s="2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B23" s="18" t="s">
        <v>24</v>
      </c>
      <c r="C23" s="18" t="s">
        <v>95</v>
      </c>
      <c r="D23" s="18" t="s">
        <v>74</v>
      </c>
      <c r="E23" s="18">
        <f t="shared" si="3"/>
        <v>5</v>
      </c>
      <c r="F23" s="18">
        <v>9.0</v>
      </c>
      <c r="G23" s="18">
        <v>14.0</v>
      </c>
      <c r="H23" s="2"/>
      <c r="J23" s="2"/>
      <c r="K23" s="2"/>
      <c r="L23" s="2"/>
      <c r="M23" s="2"/>
      <c r="N23" s="6"/>
      <c r="O23" s="2"/>
      <c r="P23" s="6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B24" s="18" t="s">
        <v>27</v>
      </c>
      <c r="C24" s="18" t="s">
        <v>90</v>
      </c>
      <c r="D24" s="18" t="s">
        <v>8</v>
      </c>
      <c r="E24" s="18">
        <f t="shared" si="3"/>
        <v>5</v>
      </c>
      <c r="F24" s="18">
        <v>9.0</v>
      </c>
      <c r="G24" s="18">
        <v>14.0</v>
      </c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B25" s="18" t="s">
        <v>29</v>
      </c>
      <c r="C25" s="18" t="s">
        <v>93</v>
      </c>
      <c r="D25" s="18" t="s">
        <v>58</v>
      </c>
      <c r="E25" s="18">
        <f t="shared" si="3"/>
        <v>5</v>
      </c>
      <c r="F25" s="18">
        <v>8.0</v>
      </c>
      <c r="G25" s="18">
        <v>13.0</v>
      </c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B26" s="18" t="s">
        <v>32</v>
      </c>
      <c r="C26" s="18" t="s">
        <v>99</v>
      </c>
      <c r="D26" s="18" t="s">
        <v>74</v>
      </c>
      <c r="E26" s="18">
        <f t="shared" si="3"/>
        <v>7</v>
      </c>
      <c r="F26" s="18">
        <v>7.0</v>
      </c>
      <c r="G26" s="18">
        <v>14.0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B27" s="18" t="s">
        <v>35</v>
      </c>
      <c r="C27" s="18" t="s">
        <v>96</v>
      </c>
      <c r="D27" s="18" t="s">
        <v>58</v>
      </c>
      <c r="E27" s="18">
        <f t="shared" si="3"/>
        <v>11</v>
      </c>
      <c r="F27" s="18">
        <v>9.0</v>
      </c>
      <c r="G27" s="18">
        <v>20.0</v>
      </c>
      <c r="H27" s="2"/>
      <c r="I27" s="2"/>
      <c r="J27" s="20" t="s">
        <v>98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B28" s="18" t="s">
        <v>39</v>
      </c>
      <c r="C28" s="18" t="s">
        <v>108</v>
      </c>
      <c r="D28" s="18" t="s">
        <v>76</v>
      </c>
      <c r="E28" s="18">
        <f t="shared" si="3"/>
        <v>0</v>
      </c>
      <c r="F28" s="18">
        <v>4.0</v>
      </c>
      <c r="G28" s="18">
        <v>4.0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B29" s="18" t="s">
        <v>41</v>
      </c>
      <c r="C29" s="18" t="s">
        <v>109</v>
      </c>
      <c r="D29" s="18" t="s">
        <v>12</v>
      </c>
      <c r="E29" s="18">
        <f t="shared" si="3"/>
        <v>4</v>
      </c>
      <c r="F29" s="18">
        <v>3.0</v>
      </c>
      <c r="G29" s="18">
        <v>7.0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B30" s="18" t="s">
        <v>45</v>
      </c>
      <c r="C30" s="18" t="s">
        <v>111</v>
      </c>
      <c r="D30" s="18" t="s">
        <v>58</v>
      </c>
      <c r="E30" s="18">
        <f t="shared" si="3"/>
        <v>8</v>
      </c>
      <c r="F30" s="18">
        <v>0.0</v>
      </c>
      <c r="G30" s="18">
        <v>8.0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B31" s="22" t="s">
        <v>59</v>
      </c>
      <c r="C31" s="23"/>
      <c r="D31" s="23"/>
      <c r="E31" s="23">
        <f>sum(E22:E30) + 'Round 1'!E31</f>
        <v>101</v>
      </c>
      <c r="F31" s="23"/>
      <c r="G31" s="23"/>
      <c r="H31" s="2"/>
      <c r="I31" s="2"/>
      <c r="J31" s="6" t="s">
        <v>112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4" t="s">
        <v>114</v>
      </c>
      <c r="B32" s="25" t="s">
        <v>20</v>
      </c>
      <c r="C32" s="25" t="s">
        <v>72</v>
      </c>
      <c r="D32" s="25" t="s">
        <v>58</v>
      </c>
      <c r="E32" s="25">
        <f t="shared" ref="E32:E40" si="4">G32 - F32</f>
        <v>9</v>
      </c>
      <c r="F32" s="25">
        <v>12.0</v>
      </c>
      <c r="G32" s="25">
        <v>21.0</v>
      </c>
      <c r="H32" s="2"/>
      <c r="I32" s="2"/>
      <c r="J32" s="6" t="s">
        <v>115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B33" s="25" t="s">
        <v>24</v>
      </c>
      <c r="C33" s="26" t="s">
        <v>107</v>
      </c>
      <c r="D33" s="26" t="s">
        <v>58</v>
      </c>
      <c r="E33" s="25">
        <f t="shared" si="4"/>
        <v>10</v>
      </c>
      <c r="F33" s="25">
        <v>6.0</v>
      </c>
      <c r="G33" s="25">
        <v>16.0</v>
      </c>
      <c r="H33" s="2"/>
      <c r="I33" s="2"/>
      <c r="J33" s="6" t="s">
        <v>117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B34" s="25" t="s">
        <v>27</v>
      </c>
      <c r="C34" s="25" t="s">
        <v>118</v>
      </c>
      <c r="D34" s="25" t="s">
        <v>74</v>
      </c>
      <c r="E34" s="25">
        <f t="shared" si="4"/>
        <v>8</v>
      </c>
      <c r="F34" s="25">
        <v>3.0</v>
      </c>
      <c r="G34" s="25">
        <v>11.0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B35" s="25" t="s">
        <v>29</v>
      </c>
      <c r="C35" s="25" t="s">
        <v>124</v>
      </c>
      <c r="D35" s="25" t="s">
        <v>12</v>
      </c>
      <c r="E35" s="25">
        <f t="shared" si="4"/>
        <v>8</v>
      </c>
      <c r="F35" s="25">
        <v>5.0</v>
      </c>
      <c r="G35" s="25">
        <v>13.0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B36" s="25" t="s">
        <v>32</v>
      </c>
      <c r="C36" s="25" t="s">
        <v>129</v>
      </c>
      <c r="D36" s="25" t="s">
        <v>31</v>
      </c>
      <c r="E36" s="25">
        <f t="shared" si="4"/>
        <v>6</v>
      </c>
      <c r="F36" s="25">
        <v>6.0</v>
      </c>
      <c r="G36" s="25">
        <v>12.0</v>
      </c>
      <c r="H36" s="2"/>
      <c r="I36" s="2"/>
      <c r="J36" s="6" t="s">
        <v>121</v>
      </c>
      <c r="K36" s="6"/>
      <c r="L36" s="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B37" s="25" t="s">
        <v>35</v>
      </c>
      <c r="C37" s="25" t="s">
        <v>123</v>
      </c>
      <c r="D37" s="25" t="s">
        <v>8</v>
      </c>
      <c r="E37" s="25">
        <f t="shared" si="4"/>
        <v>6</v>
      </c>
      <c r="F37" s="25">
        <v>9.0</v>
      </c>
      <c r="G37" s="25">
        <v>15.0</v>
      </c>
      <c r="H37" s="2"/>
      <c r="I37" s="2"/>
      <c r="J37" s="6"/>
      <c r="K37" s="6"/>
      <c r="L37" s="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B38" s="25" t="s">
        <v>39</v>
      </c>
      <c r="C38" s="25" t="s">
        <v>102</v>
      </c>
      <c r="D38" s="25" t="s">
        <v>74</v>
      </c>
      <c r="E38" s="25">
        <f t="shared" si="4"/>
        <v>2</v>
      </c>
      <c r="F38" s="25">
        <v>2.0</v>
      </c>
      <c r="G38" s="25">
        <v>4.0</v>
      </c>
      <c r="H38" s="2"/>
      <c r="I38" s="2"/>
      <c r="J38" s="6"/>
      <c r="K38" s="6"/>
      <c r="L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B39" s="25" t="s">
        <v>41</v>
      </c>
      <c r="C39" s="25" t="s">
        <v>134</v>
      </c>
      <c r="D39" s="25" t="s">
        <v>79</v>
      </c>
      <c r="E39" s="25">
        <f t="shared" si="4"/>
        <v>8</v>
      </c>
      <c r="F39" s="25">
        <v>5.0</v>
      </c>
      <c r="G39" s="25">
        <v>13.0</v>
      </c>
      <c r="H39" s="2"/>
      <c r="I39" s="2"/>
      <c r="J39" s="6" t="s">
        <v>135</v>
      </c>
      <c r="K39" s="6"/>
      <c r="L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B40" s="25" t="s">
        <v>45</v>
      </c>
      <c r="C40" s="25" t="s">
        <v>136</v>
      </c>
      <c r="D40" s="25" t="s">
        <v>8</v>
      </c>
      <c r="E40" s="25">
        <f t="shared" si="4"/>
        <v>4</v>
      </c>
      <c r="F40" s="25">
        <v>0.0</v>
      </c>
      <c r="G40" s="25">
        <v>4.0</v>
      </c>
      <c r="H40" s="2"/>
      <c r="I40" s="2"/>
      <c r="J40" s="6">
        <f>(SUM(E2:E10) + SUM(E12:E20) + SUM(E22:E30) + SUM(E32:E40)) / 4</f>
        <v>47.75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B41" s="27" t="s">
        <v>59</v>
      </c>
      <c r="C41" s="28"/>
      <c r="D41" s="28"/>
      <c r="E41" s="28">
        <f>sum(E32:E40) + 'Round 1'!E41</f>
        <v>108</v>
      </c>
      <c r="F41" s="28"/>
      <c r="G41" s="28"/>
      <c r="H41" s="2"/>
      <c r="I41" s="2"/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3"/>
      <c r="C44" s="2"/>
      <c r="D44" s="2"/>
      <c r="E44" s="2"/>
      <c r="F44" s="2"/>
      <c r="G44" s="2"/>
      <c r="H44" s="2"/>
      <c r="I44" s="2"/>
      <c r="J44" s="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6"/>
      <c r="C45" s="2"/>
      <c r="D45" s="2"/>
      <c r="E45" s="2"/>
      <c r="F45" s="2"/>
      <c r="G45" s="2"/>
      <c r="H45" s="2"/>
      <c r="I45" s="2"/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6"/>
      <c r="C46" s="2"/>
      <c r="D46" s="2"/>
      <c r="E46" s="2"/>
      <c r="F46" s="2"/>
      <c r="G46" s="2"/>
      <c r="H46" s="2"/>
      <c r="I46" s="2"/>
      <c r="J46" s="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C47" s="2"/>
      <c r="D47" s="2"/>
      <c r="E47" s="2"/>
      <c r="F47" s="2"/>
      <c r="G47" s="2"/>
      <c r="H47" s="2"/>
      <c r="I47" s="2"/>
      <c r="J47" s="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6"/>
      <c r="C48" s="2"/>
      <c r="D48" s="2"/>
      <c r="E48" s="2"/>
      <c r="F48" s="2"/>
      <c r="G48" s="2"/>
      <c r="H48" s="2"/>
      <c r="I48" s="2"/>
      <c r="J48" s="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6"/>
      <c r="C49" s="2"/>
      <c r="D49" s="2"/>
      <c r="E49" s="2"/>
      <c r="F49" s="2"/>
      <c r="G49" s="2"/>
      <c r="H49" s="2"/>
      <c r="I49" s="2"/>
      <c r="J49" s="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6"/>
      <c r="C50" s="2"/>
      <c r="D50" s="2"/>
      <c r="E50" s="2"/>
      <c r="F50" s="2"/>
      <c r="G50" s="2"/>
      <c r="H50" s="2"/>
      <c r="I50" s="2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6"/>
      <c r="C51" s="2"/>
      <c r="D51" s="2"/>
      <c r="E51" s="2"/>
      <c r="F51" s="2"/>
      <c r="G51" s="2"/>
      <c r="H51" s="2"/>
      <c r="I51" s="2"/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</sheetData>
  <mergeCells count="4">
    <mergeCell ref="A2:A11"/>
    <mergeCell ref="A12:A21"/>
    <mergeCell ref="A22:A31"/>
    <mergeCell ref="A32:A41"/>
  </mergeCells>
  <hyperlinks>
    <hyperlink r:id="rId1" ref="J2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8.0"/>
    <col customWidth="1" min="4" max="4" width="16.0"/>
    <col customWidth="1" min="5" max="5" width="14.5"/>
    <col customWidth="1" min="6" max="7" width="16.88"/>
    <col customWidth="1" min="8" max="8" width="15.75"/>
    <col customWidth="1" min="9" max="9" width="13.88"/>
    <col customWidth="1" min="10" max="10" width="38.63"/>
  </cols>
  <sheetData>
    <row r="1">
      <c r="A1" s="2"/>
      <c r="B1" s="3" t="s">
        <v>11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18</v>
      </c>
      <c r="H1" s="2"/>
      <c r="I1" s="2"/>
      <c r="J1" s="3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3</v>
      </c>
      <c r="B2" s="5" t="s">
        <v>20</v>
      </c>
      <c r="C2" s="5" t="s">
        <v>22</v>
      </c>
      <c r="D2" s="5" t="s">
        <v>12</v>
      </c>
      <c r="E2" s="5">
        <f t="shared" ref="E2:E6" si="1">G2 - F2</f>
        <v>7</v>
      </c>
      <c r="F2" s="5">
        <v>9.0</v>
      </c>
      <c r="G2" s="5">
        <v>16.0</v>
      </c>
      <c r="H2" s="2"/>
      <c r="I2" s="2"/>
      <c r="J2" s="6" t="s">
        <v>23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5" t="s">
        <v>24</v>
      </c>
      <c r="C3" s="5" t="s">
        <v>34</v>
      </c>
      <c r="D3" s="5" t="s">
        <v>12</v>
      </c>
      <c r="E3" s="5">
        <f t="shared" si="1"/>
        <v>8</v>
      </c>
      <c r="F3" s="5">
        <v>9.0</v>
      </c>
      <c r="G3" s="5">
        <v>17.0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B4" s="5" t="s">
        <v>27</v>
      </c>
      <c r="C4" s="5" t="s">
        <v>38</v>
      </c>
      <c r="D4" s="5" t="s">
        <v>12</v>
      </c>
      <c r="E4" s="5">
        <f t="shared" si="1"/>
        <v>10</v>
      </c>
      <c r="F4" s="5">
        <v>11.0</v>
      </c>
      <c r="G4" s="5">
        <v>21.0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5" t="s">
        <v>29</v>
      </c>
      <c r="C5" s="5" t="s">
        <v>44</v>
      </c>
      <c r="D5" s="5" t="s">
        <v>12</v>
      </c>
      <c r="E5" s="5">
        <f t="shared" si="1"/>
        <v>4</v>
      </c>
      <c r="F5" s="5">
        <v>5.0</v>
      </c>
      <c r="G5" s="5">
        <v>9.0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B6" s="5" t="s">
        <v>32</v>
      </c>
      <c r="C6" s="5" t="s">
        <v>48</v>
      </c>
      <c r="D6" s="5" t="s">
        <v>12</v>
      </c>
      <c r="E6" s="5">
        <f t="shared" si="1"/>
        <v>12</v>
      </c>
      <c r="F6" s="5">
        <v>4.0</v>
      </c>
      <c r="G6" s="5">
        <v>16.0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B7" s="5" t="s">
        <v>35</v>
      </c>
      <c r="C7" s="5" t="s">
        <v>51</v>
      </c>
      <c r="D7" s="5" t="s">
        <v>12</v>
      </c>
      <c r="E7" s="5">
        <f>3 + (G7 - F7)</f>
        <v>5</v>
      </c>
      <c r="F7" s="5">
        <v>0.0</v>
      </c>
      <c r="G7" s="5">
        <v>2.0</v>
      </c>
      <c r="H7" s="6" t="s">
        <v>54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B8" s="5" t="s">
        <v>39</v>
      </c>
      <c r="C8" s="5" t="s">
        <v>56</v>
      </c>
      <c r="D8" s="5" t="s">
        <v>12</v>
      </c>
      <c r="E8" s="5">
        <f t="shared" ref="E8:E10" si="2">G8 - F8</f>
        <v>2</v>
      </c>
      <c r="F8" s="5">
        <v>4.0</v>
      </c>
      <c r="G8" s="5">
        <v>6.0</v>
      </c>
      <c r="H8" s="2"/>
      <c r="I8" s="2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B9" s="5" t="s">
        <v>41</v>
      </c>
      <c r="C9" s="5" t="s">
        <v>60</v>
      </c>
      <c r="D9" s="5" t="s">
        <v>12</v>
      </c>
      <c r="E9" s="5">
        <f t="shared" si="2"/>
        <v>2</v>
      </c>
      <c r="F9" s="5">
        <v>2.0</v>
      </c>
      <c r="G9" s="5">
        <v>4.0</v>
      </c>
      <c r="H9" s="2"/>
      <c r="I9" s="3" t="s">
        <v>43</v>
      </c>
      <c r="J9" s="2"/>
      <c r="K9" s="2"/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B10" s="5" t="s">
        <v>45</v>
      </c>
      <c r="C10" s="5" t="s">
        <v>46</v>
      </c>
      <c r="D10" s="5" t="s">
        <v>12</v>
      </c>
      <c r="E10" s="5">
        <f t="shared" si="2"/>
        <v>20</v>
      </c>
      <c r="F10" s="5">
        <v>0.0</v>
      </c>
      <c r="G10" s="5">
        <v>20.0</v>
      </c>
      <c r="I10" s="6" t="s">
        <v>3</v>
      </c>
      <c r="J10" s="2"/>
      <c r="K10" s="2"/>
      <c r="L10" s="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B11" s="7" t="s">
        <v>59</v>
      </c>
      <c r="C11" s="8"/>
      <c r="D11" s="8"/>
      <c r="E11" s="8">
        <f>sum(E2:E10) + 'Round 2'!E11</f>
        <v>136</v>
      </c>
      <c r="F11" s="8"/>
      <c r="G11" s="8"/>
      <c r="I11" s="6" t="s">
        <v>9</v>
      </c>
      <c r="J11" s="2"/>
      <c r="K11" s="2"/>
      <c r="L11" s="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9" t="s">
        <v>55</v>
      </c>
      <c r="B12" s="10" t="s">
        <v>20</v>
      </c>
      <c r="C12" s="10" t="s">
        <v>72</v>
      </c>
      <c r="D12" s="10" t="s">
        <v>58</v>
      </c>
      <c r="E12" s="10">
        <f t="shared" ref="E12:E20" si="3">G12-F12</f>
        <v>21</v>
      </c>
      <c r="F12" s="10">
        <v>21.0</v>
      </c>
      <c r="G12" s="10">
        <v>42.0</v>
      </c>
      <c r="H12" s="6"/>
      <c r="I12" s="6" t="s">
        <v>62</v>
      </c>
      <c r="J12" s="2"/>
      <c r="K12" s="2"/>
      <c r="L12" s="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B13" s="14" t="s">
        <v>24</v>
      </c>
      <c r="C13" s="14" t="s">
        <v>78</v>
      </c>
      <c r="D13" s="14" t="s">
        <v>79</v>
      </c>
      <c r="E13" s="10">
        <f t="shared" si="3"/>
        <v>5</v>
      </c>
      <c r="F13" s="10">
        <v>11.0</v>
      </c>
      <c r="G13" s="10">
        <v>16.0</v>
      </c>
      <c r="H13" s="6"/>
      <c r="I13" s="6" t="s">
        <v>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B14" s="10" t="s">
        <v>27</v>
      </c>
      <c r="C14" s="10" t="s">
        <v>63</v>
      </c>
      <c r="D14" s="10" t="s">
        <v>12</v>
      </c>
      <c r="E14" s="10">
        <f t="shared" si="3"/>
        <v>8</v>
      </c>
      <c r="F14" s="10">
        <v>14.0</v>
      </c>
      <c r="G14" s="10">
        <v>22.0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B15" s="14" t="s">
        <v>29</v>
      </c>
      <c r="C15" s="14" t="s">
        <v>73</v>
      </c>
      <c r="D15" s="14" t="s">
        <v>74</v>
      </c>
      <c r="E15" s="10">
        <f t="shared" si="3"/>
        <v>2</v>
      </c>
      <c r="F15" s="10">
        <v>10.0</v>
      </c>
      <c r="G15" s="10">
        <v>12.0</v>
      </c>
      <c r="H15" s="2"/>
      <c r="I15" s="3" t="s">
        <v>65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B16" s="19" t="s">
        <v>32</v>
      </c>
      <c r="C16" s="19" t="s">
        <v>85</v>
      </c>
      <c r="D16" s="19" t="s">
        <v>79</v>
      </c>
      <c r="E16" s="10">
        <f t="shared" si="3"/>
        <v>7</v>
      </c>
      <c r="F16" s="10">
        <v>8.0</v>
      </c>
      <c r="G16" s="10">
        <v>15.0</v>
      </c>
      <c r="H16" s="2"/>
      <c r="I16" s="11">
        <v>45443.0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B17" s="10" t="s">
        <v>35</v>
      </c>
      <c r="C17" s="10" t="s">
        <v>86</v>
      </c>
      <c r="D17" s="10" t="s">
        <v>12</v>
      </c>
      <c r="E17" s="10">
        <f t="shared" si="3"/>
        <v>2</v>
      </c>
      <c r="F17" s="10">
        <v>4.0</v>
      </c>
      <c r="G17" s="10">
        <v>6.0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4" t="s">
        <v>39</v>
      </c>
      <c r="C18" s="14" t="s">
        <v>87</v>
      </c>
      <c r="D18" s="14" t="s">
        <v>74</v>
      </c>
      <c r="E18" s="10">
        <f t="shared" si="3"/>
        <v>1</v>
      </c>
      <c r="F18" s="10">
        <v>3.0</v>
      </c>
      <c r="G18" s="10">
        <v>4.0</v>
      </c>
      <c r="H18" s="2"/>
      <c r="I18" s="12" t="s">
        <v>70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10" t="s">
        <v>41</v>
      </c>
      <c r="C19" s="10" t="s">
        <v>92</v>
      </c>
      <c r="D19" s="10" t="s">
        <v>58</v>
      </c>
      <c r="E19" s="10">
        <f t="shared" si="3"/>
        <v>2</v>
      </c>
      <c r="F19" s="10">
        <v>3.0</v>
      </c>
      <c r="G19" s="10">
        <v>5.0</v>
      </c>
      <c r="H19" s="2"/>
      <c r="I19" s="13">
        <f>MAX(E11, E21, E31, E41)</f>
        <v>172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B20" s="14" t="s">
        <v>45</v>
      </c>
      <c r="C20" s="14" t="s">
        <v>97</v>
      </c>
      <c r="D20" s="14" t="s">
        <v>74</v>
      </c>
      <c r="E20" s="10">
        <f t="shared" si="3"/>
        <v>4</v>
      </c>
      <c r="F20" s="10">
        <v>0.0</v>
      </c>
      <c r="G20" s="10">
        <v>4.0</v>
      </c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B21" s="15" t="s">
        <v>59</v>
      </c>
      <c r="C21" s="16"/>
      <c r="D21" s="16"/>
      <c r="E21" s="16">
        <f>sum(E12:E20) + 'Round 2'!E21</f>
        <v>156</v>
      </c>
      <c r="F21" s="16"/>
      <c r="G21" s="16"/>
      <c r="H21" s="2"/>
      <c r="I21" s="3" t="s">
        <v>82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7" t="s">
        <v>83</v>
      </c>
      <c r="B22" s="14" t="s">
        <v>20</v>
      </c>
      <c r="C22" s="14" t="s">
        <v>100</v>
      </c>
      <c r="D22" s="14" t="s">
        <v>79</v>
      </c>
      <c r="E22" s="18">
        <f t="shared" ref="E22:E30" si="4">G22-F22</f>
        <v>4</v>
      </c>
      <c r="F22" s="18">
        <v>12.0</v>
      </c>
      <c r="G22" s="18">
        <v>16.0</v>
      </c>
      <c r="H22" s="2"/>
      <c r="I22" s="6" t="str">
        <f t="array" ref="I22">INDIRECT(ADDRESS(1+MATCH(I19, E11:E41, 0), 1))</f>
        <v>Levi 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B23" s="14" t="s">
        <v>24</v>
      </c>
      <c r="C23" s="14" t="s">
        <v>101</v>
      </c>
      <c r="D23" s="14" t="s">
        <v>79</v>
      </c>
      <c r="E23" s="18">
        <f t="shared" si="4"/>
        <v>5</v>
      </c>
      <c r="F23" s="18">
        <v>8.0</v>
      </c>
      <c r="G23" s="18">
        <v>13.0</v>
      </c>
      <c r="H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B24" s="14" t="s">
        <v>27</v>
      </c>
      <c r="C24" s="14" t="s">
        <v>105</v>
      </c>
      <c r="D24" s="14" t="s">
        <v>79</v>
      </c>
      <c r="E24" s="18">
        <f t="shared" si="4"/>
        <v>2</v>
      </c>
      <c r="F24" s="18">
        <v>6.0</v>
      </c>
      <c r="G24" s="18">
        <v>8.0</v>
      </c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B25" s="18" t="s">
        <v>29</v>
      </c>
      <c r="C25" s="21" t="s">
        <v>107</v>
      </c>
      <c r="D25" s="21" t="s">
        <v>58</v>
      </c>
      <c r="E25" s="18">
        <f t="shared" si="4"/>
        <v>6</v>
      </c>
      <c r="F25" s="18">
        <v>16.0</v>
      </c>
      <c r="G25" s="18">
        <v>22.0</v>
      </c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B26" s="18" t="s">
        <v>32</v>
      </c>
      <c r="C26" s="18" t="s">
        <v>110</v>
      </c>
      <c r="D26" s="18" t="s">
        <v>12</v>
      </c>
      <c r="E26" s="18">
        <f t="shared" si="4"/>
        <v>9</v>
      </c>
      <c r="F26" s="18">
        <v>6.0</v>
      </c>
      <c r="G26" s="18">
        <v>15.0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B27" s="14" t="s">
        <v>35</v>
      </c>
      <c r="C27" s="19" t="s">
        <v>113</v>
      </c>
      <c r="D27" s="19" t="s">
        <v>79</v>
      </c>
      <c r="E27" s="18">
        <f t="shared" si="4"/>
        <v>1</v>
      </c>
      <c r="F27" s="21">
        <v>3.0</v>
      </c>
      <c r="G27" s="21">
        <v>4.0</v>
      </c>
      <c r="H27" s="2"/>
      <c r="I27" s="2"/>
      <c r="J27" s="20" t="s">
        <v>98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B28" s="18" t="s">
        <v>39</v>
      </c>
      <c r="C28" s="18" t="s">
        <v>122</v>
      </c>
      <c r="D28" s="18" t="s">
        <v>12</v>
      </c>
      <c r="E28" s="18">
        <f t="shared" si="4"/>
        <v>3</v>
      </c>
      <c r="F28" s="18">
        <v>8.0</v>
      </c>
      <c r="G28" s="18">
        <v>11.0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B29" s="18" t="s">
        <v>41</v>
      </c>
      <c r="C29" s="18" t="s">
        <v>109</v>
      </c>
      <c r="D29" s="18" t="s">
        <v>12</v>
      </c>
      <c r="E29" s="18">
        <f t="shared" si="4"/>
        <v>6</v>
      </c>
      <c r="F29" s="18">
        <v>7.0</v>
      </c>
      <c r="G29" s="18">
        <v>13.0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B30" s="14" t="s">
        <v>45</v>
      </c>
      <c r="C30" s="14" t="s">
        <v>131</v>
      </c>
      <c r="D30" s="14" t="s">
        <v>79</v>
      </c>
      <c r="E30" s="18">
        <f t="shared" si="4"/>
        <v>4</v>
      </c>
      <c r="F30" s="18">
        <v>0.0</v>
      </c>
      <c r="G30" s="18">
        <v>4.0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B31" s="22" t="s">
        <v>59</v>
      </c>
      <c r="C31" s="23"/>
      <c r="D31" s="23"/>
      <c r="E31" s="23">
        <f>sum(E22:E30) + 'Round 2'!E31</f>
        <v>141</v>
      </c>
      <c r="F31" s="23"/>
      <c r="G31" s="23"/>
      <c r="H31" s="2"/>
      <c r="I31" s="2"/>
      <c r="J31" s="6" t="s">
        <v>112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4" t="s">
        <v>114</v>
      </c>
      <c r="B32" s="25" t="s">
        <v>20</v>
      </c>
      <c r="C32" s="25" t="s">
        <v>137</v>
      </c>
      <c r="D32" s="25" t="s">
        <v>58</v>
      </c>
      <c r="E32" s="25">
        <f t="shared" ref="E32:E40" si="5">G32-F32</f>
        <v>7</v>
      </c>
      <c r="F32" s="25">
        <v>24.0</v>
      </c>
      <c r="G32" s="25">
        <v>31.0</v>
      </c>
      <c r="H32" s="2"/>
      <c r="I32" s="2"/>
      <c r="J32" s="6" t="s">
        <v>115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B33" s="25" t="s">
        <v>24</v>
      </c>
      <c r="C33" s="26" t="s">
        <v>93</v>
      </c>
      <c r="D33" s="26" t="s">
        <v>58</v>
      </c>
      <c r="E33" s="25">
        <f t="shared" si="5"/>
        <v>9</v>
      </c>
      <c r="F33" s="26">
        <v>13.0</v>
      </c>
      <c r="G33" s="26">
        <v>22.0</v>
      </c>
      <c r="H33" s="2"/>
      <c r="I33" s="2"/>
      <c r="J33" s="6" t="s">
        <v>117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B34" s="14" t="s">
        <v>27</v>
      </c>
      <c r="C34" s="14" t="s">
        <v>118</v>
      </c>
      <c r="D34" s="14" t="s">
        <v>74</v>
      </c>
      <c r="E34" s="25">
        <f t="shared" si="5"/>
        <v>4</v>
      </c>
      <c r="F34" s="25">
        <v>11.0</v>
      </c>
      <c r="G34" s="25">
        <v>15.0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B35" s="25" t="s">
        <v>29</v>
      </c>
      <c r="C35" s="25" t="s">
        <v>124</v>
      </c>
      <c r="D35" s="25" t="s">
        <v>12</v>
      </c>
      <c r="E35" s="25">
        <f t="shared" si="5"/>
        <v>9</v>
      </c>
      <c r="F35" s="25">
        <v>13.0</v>
      </c>
      <c r="G35" s="25">
        <v>22.0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B36" s="14" t="s">
        <v>32</v>
      </c>
      <c r="C36" s="14" t="s">
        <v>95</v>
      </c>
      <c r="D36" s="14" t="s">
        <v>74</v>
      </c>
      <c r="E36" s="25">
        <f t="shared" si="5"/>
        <v>2</v>
      </c>
      <c r="F36" s="25">
        <v>14.0</v>
      </c>
      <c r="G36" s="25">
        <v>16.0</v>
      </c>
      <c r="H36" s="2"/>
      <c r="I36" s="2"/>
      <c r="J36" s="6" t="s">
        <v>121</v>
      </c>
      <c r="K36" s="6"/>
      <c r="L36" s="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B37" s="25" t="s">
        <v>35</v>
      </c>
      <c r="C37" s="25" t="s">
        <v>138</v>
      </c>
      <c r="D37" s="25" t="s">
        <v>58</v>
      </c>
      <c r="E37" s="25">
        <f t="shared" si="5"/>
        <v>12</v>
      </c>
      <c r="F37" s="25">
        <v>20.0</v>
      </c>
      <c r="G37" s="25">
        <v>32.0</v>
      </c>
      <c r="H37" s="2"/>
      <c r="I37" s="2"/>
      <c r="J37" s="6"/>
      <c r="K37" s="6"/>
      <c r="L37" s="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B38" s="14" t="s">
        <v>39</v>
      </c>
      <c r="C38" s="14" t="s">
        <v>102</v>
      </c>
      <c r="D38" s="14" t="s">
        <v>74</v>
      </c>
      <c r="E38" s="25">
        <f t="shared" si="5"/>
        <v>4</v>
      </c>
      <c r="F38" s="25">
        <v>4.0</v>
      </c>
      <c r="G38" s="25">
        <v>8.0</v>
      </c>
      <c r="H38" s="2"/>
      <c r="I38" s="2"/>
      <c r="J38" s="6"/>
      <c r="K38" s="6"/>
      <c r="L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B39" s="14" t="s">
        <v>41</v>
      </c>
      <c r="C39" s="14" t="s">
        <v>134</v>
      </c>
      <c r="D39" s="14" t="s">
        <v>79</v>
      </c>
      <c r="E39" s="25">
        <f t="shared" si="5"/>
        <v>3</v>
      </c>
      <c r="F39" s="25">
        <v>13.0</v>
      </c>
      <c r="G39" s="25">
        <v>16.0</v>
      </c>
      <c r="H39" s="2"/>
      <c r="I39" s="2"/>
      <c r="J39" s="6" t="s">
        <v>139</v>
      </c>
      <c r="K39" s="6"/>
      <c r="L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B40" s="25" t="s">
        <v>45</v>
      </c>
      <c r="C40" s="25" t="s">
        <v>140</v>
      </c>
      <c r="D40" s="25" t="s">
        <v>58</v>
      </c>
      <c r="E40" s="25">
        <f t="shared" si="5"/>
        <v>14</v>
      </c>
      <c r="F40" s="25">
        <v>0.0</v>
      </c>
      <c r="G40" s="25">
        <v>14.0</v>
      </c>
      <c r="H40" s="2"/>
      <c r="I40" s="2"/>
      <c r="J40" s="6">
        <f>(SUM(E2:E10) + SUM(E12:E20) + SUM(E22:E30) + SUM(E32:E40)) / 2</f>
        <v>113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B41" s="27" t="s">
        <v>59</v>
      </c>
      <c r="C41" s="28"/>
      <c r="D41" s="28"/>
      <c r="E41" s="28">
        <f>sum(E32:E40) + 'Round 2'!E41</f>
        <v>172</v>
      </c>
      <c r="F41" s="28"/>
      <c r="G41" s="28"/>
      <c r="H41" s="2"/>
      <c r="I41" s="2"/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3"/>
      <c r="C44" s="2"/>
      <c r="D44" s="2"/>
      <c r="E44" s="6"/>
      <c r="F44" s="2"/>
      <c r="G44" s="2"/>
      <c r="H44" s="2"/>
      <c r="I44" s="2"/>
      <c r="J44" s="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6"/>
      <c r="C45" s="2"/>
      <c r="D45" s="2"/>
      <c r="E45" s="6"/>
      <c r="F45" s="2"/>
      <c r="G45" s="2"/>
      <c r="H45" s="2"/>
      <c r="I45" s="2"/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6"/>
      <c r="C46" s="2"/>
      <c r="D46" s="2"/>
      <c r="E46" s="6"/>
      <c r="F46" s="2"/>
      <c r="G46" s="2"/>
      <c r="H46" s="2"/>
      <c r="I46" s="2"/>
      <c r="J46" s="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C47" s="2"/>
      <c r="D47" s="2"/>
      <c r="E47" s="6"/>
      <c r="F47" s="2"/>
      <c r="G47" s="2"/>
      <c r="H47" s="2"/>
      <c r="I47" s="2"/>
      <c r="J47" s="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6"/>
      <c r="C48" s="2"/>
      <c r="D48" s="2"/>
      <c r="E48" s="6"/>
      <c r="F48" s="2"/>
      <c r="G48" s="2"/>
      <c r="H48" s="2"/>
      <c r="I48" s="2"/>
      <c r="J48" s="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6"/>
      <c r="C49" s="2"/>
      <c r="D49" s="2"/>
      <c r="E49" s="2"/>
      <c r="F49" s="2"/>
      <c r="G49" s="2"/>
      <c r="H49" s="2"/>
      <c r="I49" s="2"/>
      <c r="J49" s="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6"/>
      <c r="C50" s="2"/>
      <c r="D50" s="2"/>
      <c r="E50" s="2"/>
      <c r="F50" s="2"/>
      <c r="G50" s="2"/>
      <c r="H50" s="2"/>
      <c r="I50" s="2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6"/>
      <c r="C51" s="2"/>
      <c r="D51" s="2"/>
      <c r="E51" s="2"/>
      <c r="F51" s="2"/>
      <c r="G51" s="2"/>
      <c r="H51" s="2"/>
      <c r="I51" s="2"/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</sheetData>
  <mergeCells count="4">
    <mergeCell ref="A2:A11"/>
    <mergeCell ref="A12:A21"/>
    <mergeCell ref="A22:A31"/>
    <mergeCell ref="A32:A41"/>
  </mergeCells>
  <hyperlinks>
    <hyperlink r:id="rId1" ref="J2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0">
      <c r="A10" s="1">
        <v>2014.0</v>
      </c>
      <c r="C10" s="1" t="s">
        <v>0</v>
      </c>
    </row>
    <row r="11">
      <c r="A11" s="1">
        <v>2015.0</v>
      </c>
      <c r="C11" s="1" t="s">
        <v>1</v>
      </c>
    </row>
    <row r="12">
      <c r="A12" s="1">
        <v>2016.0</v>
      </c>
      <c r="C12" s="1" t="s">
        <v>2</v>
      </c>
    </row>
    <row r="13">
      <c r="A13" s="1">
        <v>2017.0</v>
      </c>
      <c r="C13" s="1" t="s">
        <v>2</v>
      </c>
    </row>
    <row r="14">
      <c r="A14" s="1">
        <v>2018.0</v>
      </c>
      <c r="B14" s="1" t="s">
        <v>3</v>
      </c>
      <c r="C14" s="1" t="s">
        <v>4</v>
      </c>
    </row>
    <row r="15">
      <c r="A15" s="1">
        <v>2019.0</v>
      </c>
      <c r="B15" s="1" t="s">
        <v>5</v>
      </c>
      <c r="C15" s="1" t="s">
        <v>6</v>
      </c>
    </row>
    <row r="16">
      <c r="A16" s="1">
        <v>2020.0</v>
      </c>
      <c r="B16" s="1" t="s">
        <v>5</v>
      </c>
      <c r="C16" s="1" t="s">
        <v>7</v>
      </c>
    </row>
    <row r="17">
      <c r="A17" s="1">
        <v>2021.0</v>
      </c>
      <c r="B17" s="1" t="s">
        <v>5</v>
      </c>
      <c r="C17" s="1" t="s">
        <v>7</v>
      </c>
    </row>
    <row r="18">
      <c r="A18" s="1">
        <v>2022.0</v>
      </c>
      <c r="B18" s="1" t="s">
        <v>5</v>
      </c>
      <c r="C18" s="1" t="s">
        <v>8</v>
      </c>
    </row>
    <row r="19">
      <c r="A19" s="1">
        <v>2023.0</v>
      </c>
      <c r="B19" s="1" t="s">
        <v>9</v>
      </c>
      <c r="C19" s="1" t="s">
        <v>10</v>
      </c>
    </row>
    <row r="20">
      <c r="A20" s="1">
        <v>2024.0</v>
      </c>
      <c r="B20" s="1" t="s">
        <v>5</v>
      </c>
      <c r="C20" s="1" t="s">
        <v>12</v>
      </c>
    </row>
    <row r="21">
      <c r="A21" s="1">
        <v>2025.0</v>
      </c>
    </row>
  </sheetData>
  <drawing r:id="rId1"/>
</worksheet>
</file>