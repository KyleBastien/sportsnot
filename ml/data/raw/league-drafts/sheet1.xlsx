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+4" sheetId="3" r:id="rId7"/>
    <sheet state="visible" name="Wins" sheetId="4" r:id="rId8"/>
  </sheets>
  <definedNames>
    <definedName hidden="1" localSheetId="0" name="_xlnm._FilterDatabase">'Round 1'!$A$1:$H$49</definedName>
    <definedName hidden="1" localSheetId="1" name="_xlnm._FilterDatabase">'Round 2'!$A$1:$G$41</definedName>
    <definedName hidden="1" localSheetId="2" name="_xlnm._FilterDatabase">'Round 3+4'!$A$1:$G$49</definedName>
  </definedNames>
  <calcPr/>
</workbook>
</file>

<file path=xl/sharedStrings.xml><?xml version="1.0" encoding="utf-8"?>
<sst xmlns="http://schemas.openxmlformats.org/spreadsheetml/2006/main" count="472" uniqueCount="157">
  <si>
    <t xml:space="preserve">Position </t>
  </si>
  <si>
    <t xml:space="preserve">Player </t>
  </si>
  <si>
    <t>Team</t>
  </si>
  <si>
    <t>Points</t>
  </si>
  <si>
    <t>Points for Round</t>
  </si>
  <si>
    <t>Points when drafted</t>
  </si>
  <si>
    <t>Current Total Points</t>
  </si>
  <si>
    <t>Notes</t>
  </si>
  <si>
    <t>Statistics</t>
  </si>
  <si>
    <t>Ben</t>
  </si>
  <si>
    <t>Forward 1</t>
  </si>
  <si>
    <t>Leon Draisaitl</t>
  </si>
  <si>
    <t>Oilers</t>
  </si>
  <si>
    <t>Year</t>
  </si>
  <si>
    <t>Gemmell Cup Winner</t>
  </si>
  <si>
    <t>NHL Stanley Cup Winner</t>
  </si>
  <si>
    <t>Kings</t>
  </si>
  <si>
    <t>Blackhawks</t>
  </si>
  <si>
    <t>Penguins</t>
  </si>
  <si>
    <t>Capitals</t>
  </si>
  <si>
    <t>Evi</t>
  </si>
  <si>
    <t>St. Louis Blues</t>
  </si>
  <si>
    <t>Lighting</t>
  </si>
  <si>
    <t>Avalanche</t>
  </si>
  <si>
    <t>Kyle</t>
  </si>
  <si>
    <t>Knights</t>
  </si>
  <si>
    <t>Forward 2</t>
  </si>
  <si>
    <t>Eetu Luostarinen</t>
  </si>
  <si>
    <t>Panthers</t>
  </si>
  <si>
    <t>Kirill Kaprizov</t>
  </si>
  <si>
    <t>Minnesota</t>
  </si>
  <si>
    <t>Goalie points - 2 ponts per win + 2 for shutout</t>
  </si>
  <si>
    <t>Forward 3</t>
  </si>
  <si>
    <t>Sam Reinhart</t>
  </si>
  <si>
    <t>Jason Robertson</t>
  </si>
  <si>
    <t>Dallas</t>
  </si>
  <si>
    <t>Forward 4</t>
  </si>
  <si>
    <t>Aleksander Barkov</t>
  </si>
  <si>
    <t>Forward 5</t>
  </si>
  <si>
    <t>Evander Kane</t>
  </si>
  <si>
    <t>Cole Caufield</t>
  </si>
  <si>
    <t>Jack Eichel</t>
  </si>
  <si>
    <t>Vegas</t>
  </si>
  <si>
    <t>Montreal</t>
  </si>
  <si>
    <t>Draft Order:</t>
  </si>
  <si>
    <t>Defense 1</t>
  </si>
  <si>
    <t>Dmitry Kulikov</t>
  </si>
  <si>
    <t>Wyatt Johnston</t>
  </si>
  <si>
    <t>Judah</t>
  </si>
  <si>
    <t>Logan Stankoven</t>
  </si>
  <si>
    <t>Carolina</t>
  </si>
  <si>
    <t>Levi</t>
  </si>
  <si>
    <t>Defense 2</t>
  </si>
  <si>
    <t>Alex Tuch</t>
  </si>
  <si>
    <t>John Klingberg</t>
  </si>
  <si>
    <t>Porter Martone</t>
  </si>
  <si>
    <t>Buffalo</t>
  </si>
  <si>
    <t>Philly</t>
  </si>
  <si>
    <t>Defense 3</t>
  </si>
  <si>
    <t>Evan Bouchard</t>
  </si>
  <si>
    <t>Dropped</t>
  </si>
  <si>
    <t>Edmonton</t>
  </si>
  <si>
    <t>Jaccob Slavin</t>
  </si>
  <si>
    <t>Hurricanes</t>
  </si>
  <si>
    <t>Cale Makar</t>
  </si>
  <si>
    <t>Leo Carlsson</t>
  </si>
  <si>
    <t>Colorado</t>
  </si>
  <si>
    <t>Anaheim</t>
  </si>
  <si>
    <t>Goalie 1</t>
  </si>
  <si>
    <t>Darren Raddysh</t>
  </si>
  <si>
    <t>Troy Terry</t>
  </si>
  <si>
    <t>Tampa Bay</t>
  </si>
  <si>
    <t>IR - F</t>
  </si>
  <si>
    <t>Carter Verhaeghe</t>
  </si>
  <si>
    <t>IR - D</t>
  </si>
  <si>
    <t>Sean Walker</t>
  </si>
  <si>
    <t>Carolina Hurricanes</t>
  </si>
  <si>
    <t>Devon Toews</t>
  </si>
  <si>
    <t>Total</t>
  </si>
  <si>
    <t>Brock Faber</t>
  </si>
  <si>
    <t>Shea Theodore</t>
  </si>
  <si>
    <t xml:space="preserve">Judah </t>
  </si>
  <si>
    <t>Nathan MacKinnon</t>
  </si>
  <si>
    <t>Connor McDavid</t>
  </si>
  <si>
    <t>Matt Boldy</t>
  </si>
  <si>
    <t>Adrian Kempe</t>
  </si>
  <si>
    <t>Sebastian Aho</t>
  </si>
  <si>
    <t>Last Updated</t>
  </si>
  <si>
    <t>Jake Guentzel</t>
  </si>
  <si>
    <t>Monteral</t>
  </si>
  <si>
    <t>Ryan Nugent-Hopkins</t>
  </si>
  <si>
    <t>Mats Zuccarello</t>
  </si>
  <si>
    <t>Lane Hutson</t>
  </si>
  <si>
    <t>Zach Hyman</t>
  </si>
  <si>
    <t>Gabriel Landeskog</t>
  </si>
  <si>
    <t>Corey Perry</t>
  </si>
  <si>
    <t>Current Max</t>
  </si>
  <si>
    <t>Brent Burns</t>
  </si>
  <si>
    <t>Shayne Gostisbehere</t>
  </si>
  <si>
    <t>Colorado Avalanche</t>
  </si>
  <si>
    <t>Jackson LaCombe</t>
  </si>
  <si>
    <t>Darnell Nurse</t>
  </si>
  <si>
    <t>Owen Power</t>
  </si>
  <si>
    <t>,</t>
  </si>
  <si>
    <t>Current Winner</t>
  </si>
  <si>
    <t xml:space="preserve">Kyle </t>
  </si>
  <si>
    <t>David Pastrnak</t>
  </si>
  <si>
    <t>Boston</t>
  </si>
  <si>
    <t>Connor Brown</t>
  </si>
  <si>
    <t>Martin Necas</t>
  </si>
  <si>
    <t>Brett Kulak</t>
  </si>
  <si>
    <t>Mitch Marner</t>
  </si>
  <si>
    <t>Miro Heiskanen</t>
  </si>
  <si>
    <t>Charlie McAvoy</t>
  </si>
  <si>
    <t>Edmonton Oilers</t>
  </si>
  <si>
    <t>Brad Marchand</t>
  </si>
  <si>
    <t>Roope Hintz</t>
  </si>
  <si>
    <t>Stars</t>
  </si>
  <si>
    <t>Scoring</t>
  </si>
  <si>
    <t>Nikita Kucherov</t>
  </si>
  <si>
    <t>Taylor Hall</t>
  </si>
  <si>
    <t>Points = goals + assists.</t>
  </si>
  <si>
    <t>Artturi Lehkonen</t>
  </si>
  <si>
    <t>Mikko Rantanen</t>
  </si>
  <si>
    <t>goalie is 2 points/win + 2 for shutouts</t>
  </si>
  <si>
    <t>Nick Suzuki</t>
  </si>
  <si>
    <t>Seth Jarvis</t>
  </si>
  <si>
    <t>Jackson Blake</t>
  </si>
  <si>
    <t>Sidney Crosby</t>
  </si>
  <si>
    <t>Pittsburg</t>
  </si>
  <si>
    <t>Quinn Hughes</t>
  </si>
  <si>
    <t>Anton Lundell</t>
  </si>
  <si>
    <t>Teams Scored</t>
  </si>
  <si>
    <t>Bowen Byram</t>
  </si>
  <si>
    <t>Andrei Svechnikov</t>
  </si>
  <si>
    <t>Rasmus Dahlin</t>
  </si>
  <si>
    <t>Erik Karlsson</t>
  </si>
  <si>
    <t>Noah Hanifin</t>
  </si>
  <si>
    <t>Round 1 Point Potential per Series</t>
  </si>
  <si>
    <t>Vegas Knights</t>
  </si>
  <si>
    <t>Buffalo Sabers</t>
  </si>
  <si>
    <t>Nate Schmidt</t>
  </si>
  <si>
    <t>Seth Jones</t>
  </si>
  <si>
    <t>Dmitry Orlov</t>
  </si>
  <si>
    <t>Tage Thompson</t>
  </si>
  <si>
    <t>Mark Stone</t>
  </si>
  <si>
    <t>John Carlson</t>
  </si>
  <si>
    <t>Round 2 Point Potential per Series</t>
  </si>
  <si>
    <t>Buffalo Sabres</t>
  </si>
  <si>
    <t>Matthew Tkachuk</t>
  </si>
  <si>
    <t>Sam Bennett</t>
  </si>
  <si>
    <t>Matt Duchene</t>
  </si>
  <si>
    <t>Thomas Harley</t>
  </si>
  <si>
    <t>Aaron Ekblad</t>
  </si>
  <si>
    <t>Round 3+4 Point Potential per Series</t>
  </si>
  <si>
    <t>Mikael Granlund</t>
  </si>
  <si>
    <t>Jake Walman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</si>
</sst>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color rgb="FFA64D79"/>
      <name val="Arial"/>
    </font>
    <font>
      <strike/>
      <color theme="1"/>
      <name val="Arial"/>
    </font>
    <font>
      <color rgb="FFA64D79"/>
      <name val="Arial"/>
      <scheme val="minor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1" numFmtId="0" xfId="0" applyFill="1" applyFont="1"/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2" fontId="7" numFmtId="0" xfId="0" applyAlignment="1" applyFill="1" applyFont="1">
      <alignment readingOrder="0"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Fill="1" applyFont="1"/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horizontal="right" readingOrder="0" vertical="bottom"/>
    </xf>
    <xf borderId="0" fillId="3" fontId="6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3" fontId="5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3" fontId="7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Fill="1" applyFont="1"/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ill="1" applyFont="1">
      <alignment horizontal="right" readingOrder="0" vertical="bottom"/>
    </xf>
    <xf borderId="0" fillId="0" fontId="9" numFmtId="0" xfId="0" applyAlignment="1" applyFont="1">
      <alignment vertical="bottom"/>
    </xf>
    <xf borderId="0" fillId="4" fontId="7" numFmtId="0" xfId="0" applyAlignment="1" applyFill="1" applyFont="1">
      <alignment readingOrder="0" vertical="bottom"/>
    </xf>
    <xf borderId="0" fillId="4" fontId="6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vertical="bottom"/>
    </xf>
    <xf borderId="0" fillId="5" fontId="1" numFmtId="0" xfId="0" applyAlignment="1" applyFill="1" applyFont="1">
      <alignment readingOrder="0" vertical="bottom"/>
    </xf>
    <xf borderId="0" fillId="5" fontId="1" numFmtId="0" xfId="0" applyAlignment="1" applyFill="1" applyFont="1">
      <alignment horizontal="right" readingOrder="0" vertical="bottom"/>
    </xf>
    <xf borderId="0" fillId="5" fontId="7" numFmtId="0" xfId="0" applyAlignment="1" applyFill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1" numFmtId="0" xfId="0" applyAlignment="1" applyFill="1" applyFont="1">
      <alignment horizontal="right" vertical="bottom"/>
    </xf>
    <xf borderId="0" fillId="5" fontId="6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2" Type="http://schemas.openxmlformats.org/officeDocument/2006/relationships/hyperlink" Target="https://www.nhl.com/stats/skaters?reportType=season&amp;seasonFrom=20232024&amp;seasonTo=20232024&amp;gameType=2&amp;position=F&amp;sort=pointsPerGame&amp;page=0&amp;pageSize=5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</cols>
  <sheetData>
    <row r="1">
      <c r="A1" s="1"/>
      <c r="B1" s="3" t="s">
        <v>0</v>
      </c>
      <c r="C1" s="3" t="s">
        <v>1</v>
      </c>
      <c r="D1" s="3" t="s">
        <v>2</v>
      </c>
      <c r="E1" s="3" t="s">
        <v>3</v>
      </c>
      <c r="F1" s="1"/>
      <c r="G1" s="1"/>
      <c r="H1" s="3" t="s">
        <v>7</v>
      </c>
      <c r="I1" s="11" t="s">
        <v>8</v>
      </c>
    </row>
    <row r="2">
      <c r="A2" s="4" t="s">
        <v>9</v>
      </c>
      <c r="B2" s="5" t="s">
        <v>10</v>
      </c>
      <c r="C2" s="6" t="s">
        <v>29</v>
      </c>
      <c r="D2" s="6" t="s">
        <v>30</v>
      </c>
      <c r="E2" s="7"/>
      <c r="F2" s="1"/>
      <c r="G2" s="1"/>
      <c r="H2" s="1" t="s">
        <v>31</v>
      </c>
    </row>
    <row r="3">
      <c r="B3" s="5" t="s">
        <v>26</v>
      </c>
      <c r="C3" s="6" t="s">
        <v>34</v>
      </c>
      <c r="D3" s="6" t="s">
        <v>35</v>
      </c>
      <c r="E3" s="7"/>
      <c r="F3" s="1"/>
      <c r="G3" s="1"/>
      <c r="H3" s="1"/>
    </row>
    <row r="4">
      <c r="B4" s="5" t="s">
        <v>32</v>
      </c>
      <c r="C4" s="12" t="s">
        <v>40</v>
      </c>
      <c r="D4" s="6" t="s">
        <v>43</v>
      </c>
      <c r="E4" s="7"/>
      <c r="F4" s="1"/>
      <c r="G4" s="1"/>
      <c r="H4" s="10"/>
    </row>
    <row r="5">
      <c r="B5" s="5" t="s">
        <v>36</v>
      </c>
      <c r="C5" s="12" t="s">
        <v>47</v>
      </c>
      <c r="D5" s="12" t="s">
        <v>35</v>
      </c>
      <c r="E5" s="7"/>
      <c r="F5" s="1"/>
      <c r="G5" s="1"/>
      <c r="H5" s="10"/>
    </row>
    <row r="6">
      <c r="B6" s="5" t="s">
        <v>38</v>
      </c>
      <c r="C6" s="6" t="s">
        <v>55</v>
      </c>
      <c r="D6" s="6" t="s">
        <v>57</v>
      </c>
      <c r="E6" s="7"/>
      <c r="F6" s="1"/>
      <c r="G6" s="1"/>
      <c r="H6" s="1"/>
      <c r="I6" s="13" t="s">
        <v>24</v>
      </c>
    </row>
    <row r="7">
      <c r="B7" s="5" t="s">
        <v>45</v>
      </c>
      <c r="C7" s="6" t="s">
        <v>59</v>
      </c>
      <c r="D7" s="6" t="s">
        <v>61</v>
      </c>
      <c r="E7" s="7"/>
      <c r="F7" s="1"/>
      <c r="G7" s="1"/>
      <c r="H7" s="1"/>
      <c r="I7" s="13" t="s">
        <v>9</v>
      </c>
    </row>
    <row r="8">
      <c r="B8" s="5" t="s">
        <v>52</v>
      </c>
      <c r="C8" s="6" t="s">
        <v>64</v>
      </c>
      <c r="D8" s="6" t="s">
        <v>66</v>
      </c>
      <c r="E8" s="7"/>
      <c r="F8" s="1"/>
      <c r="G8" s="10"/>
      <c r="H8" s="1"/>
      <c r="I8" s="13" t="s">
        <v>20</v>
      </c>
    </row>
    <row r="9">
      <c r="B9" s="5" t="s">
        <v>58</v>
      </c>
      <c r="C9" s="6" t="s">
        <v>69</v>
      </c>
      <c r="D9" s="6" t="s">
        <v>71</v>
      </c>
      <c r="E9" s="7"/>
      <c r="F9" s="1"/>
      <c r="G9" s="3"/>
      <c r="H9" s="1"/>
      <c r="I9" s="13" t="s">
        <v>48</v>
      </c>
    </row>
    <row r="10">
      <c r="B10" s="5" t="s">
        <v>68</v>
      </c>
      <c r="C10" s="6" t="s">
        <v>76</v>
      </c>
      <c r="D10" s="6" t="s">
        <v>50</v>
      </c>
      <c r="E10" s="7"/>
      <c r="F10" s="1"/>
      <c r="G10" s="1"/>
      <c r="H10" s="1"/>
    </row>
    <row r="11">
      <c r="B11" s="16" t="s">
        <v>72</v>
      </c>
      <c r="C11" s="16"/>
      <c r="D11" s="16"/>
      <c r="E11" s="7"/>
      <c r="F11" s="1"/>
      <c r="G11" s="1"/>
      <c r="H11" s="1"/>
    </row>
    <row r="12">
      <c r="B12" s="16" t="s">
        <v>74</v>
      </c>
      <c r="C12" s="16"/>
      <c r="D12" s="16"/>
      <c r="E12" s="7"/>
      <c r="F12" s="1"/>
      <c r="G12" s="1"/>
      <c r="H12" s="1"/>
    </row>
    <row r="13">
      <c r="B13" s="15" t="s">
        <v>78</v>
      </c>
      <c r="C13" s="5"/>
      <c r="D13" s="5"/>
      <c r="E13" s="17"/>
      <c r="F13" s="1"/>
      <c r="G13" s="1"/>
      <c r="H13" s="1"/>
    </row>
    <row r="14">
      <c r="A14" s="18" t="s">
        <v>81</v>
      </c>
      <c r="B14" s="19" t="s">
        <v>10</v>
      </c>
      <c r="C14" s="20" t="s">
        <v>82</v>
      </c>
      <c r="D14" s="20" t="s">
        <v>66</v>
      </c>
      <c r="E14" s="21"/>
      <c r="F14" s="1"/>
      <c r="G14" s="1"/>
      <c r="H14" s="1"/>
    </row>
    <row r="15">
      <c r="B15" s="19" t="s">
        <v>26</v>
      </c>
      <c r="C15" s="20" t="s">
        <v>11</v>
      </c>
      <c r="D15" s="20" t="s">
        <v>61</v>
      </c>
      <c r="E15" s="21"/>
      <c r="F15" s="1"/>
      <c r="G15" s="1"/>
      <c r="H15" s="1"/>
    </row>
    <row r="16">
      <c r="B16" s="19" t="s">
        <v>32</v>
      </c>
      <c r="C16" s="20" t="s">
        <v>84</v>
      </c>
      <c r="D16" s="20" t="s">
        <v>30</v>
      </c>
      <c r="E16" s="21"/>
      <c r="F16" s="1"/>
      <c r="G16" s="1"/>
      <c r="H16" s="1"/>
    </row>
    <row r="17">
      <c r="B17" s="19" t="s">
        <v>36</v>
      </c>
      <c r="C17" s="20" t="s">
        <v>85</v>
      </c>
      <c r="D17" s="20" t="s">
        <v>16</v>
      </c>
      <c r="E17" s="21"/>
      <c r="F17" s="1"/>
      <c r="G17" s="3" t="s">
        <v>87</v>
      </c>
      <c r="H17" s="1"/>
    </row>
    <row r="18">
      <c r="B18" s="19" t="s">
        <v>38</v>
      </c>
      <c r="C18" s="20" t="s">
        <v>88</v>
      </c>
      <c r="D18" s="20" t="s">
        <v>71</v>
      </c>
      <c r="E18" s="21"/>
      <c r="F18" s="1"/>
      <c r="G18" s="23"/>
      <c r="H18" s="1"/>
    </row>
    <row r="19">
      <c r="B19" s="19" t="s">
        <v>45</v>
      </c>
      <c r="C19" s="20" t="s">
        <v>92</v>
      </c>
      <c r="D19" s="24" t="s">
        <v>43</v>
      </c>
      <c r="E19" s="21"/>
      <c r="F19" s="1"/>
      <c r="G19" s="1"/>
      <c r="H19" s="1"/>
    </row>
    <row r="20">
      <c r="B20" s="19" t="s">
        <v>52</v>
      </c>
      <c r="C20" s="20" t="s">
        <v>79</v>
      </c>
      <c r="D20" s="20" t="s">
        <v>30</v>
      </c>
      <c r="E20" s="21"/>
      <c r="F20" s="1"/>
      <c r="G20" s="3" t="s">
        <v>96</v>
      </c>
      <c r="H20" s="1"/>
    </row>
    <row r="21">
      <c r="B21" s="19" t="s">
        <v>58</v>
      </c>
      <c r="C21" s="20" t="s">
        <v>97</v>
      </c>
      <c r="D21" s="20" t="s">
        <v>66</v>
      </c>
      <c r="E21" s="21"/>
      <c r="F21" s="1"/>
      <c r="G21" s="9"/>
      <c r="H21" s="1"/>
    </row>
    <row r="22">
      <c r="B22" s="19" t="s">
        <v>68</v>
      </c>
      <c r="C22" s="20" t="s">
        <v>99</v>
      </c>
      <c r="D22" s="20" t="s">
        <v>66</v>
      </c>
      <c r="E22" s="21"/>
      <c r="F22" s="1"/>
      <c r="G22" s="1"/>
      <c r="H22" s="1"/>
    </row>
    <row r="23">
      <c r="B23" s="26" t="s">
        <v>72</v>
      </c>
      <c r="C23" s="26"/>
      <c r="D23" s="26"/>
      <c r="E23" s="21"/>
      <c r="F23" s="1"/>
      <c r="G23" s="1"/>
      <c r="H23" s="1"/>
    </row>
    <row r="24">
      <c r="B24" s="26" t="s">
        <v>74</v>
      </c>
      <c r="C24" s="26" t="s">
        <v>103</v>
      </c>
      <c r="D24" s="26"/>
      <c r="E24" s="21"/>
      <c r="F24" s="1"/>
      <c r="G24" s="1"/>
      <c r="H24" s="1"/>
    </row>
    <row r="25">
      <c r="B25" s="27" t="s">
        <v>78</v>
      </c>
      <c r="C25" s="19"/>
      <c r="D25" s="19"/>
      <c r="E25" s="28"/>
      <c r="F25" s="1"/>
      <c r="G25" s="3" t="s">
        <v>104</v>
      </c>
      <c r="H25" s="1"/>
    </row>
    <row r="26">
      <c r="A26" s="29" t="s">
        <v>105</v>
      </c>
      <c r="B26" s="30" t="s">
        <v>10</v>
      </c>
      <c r="C26" s="31" t="s">
        <v>83</v>
      </c>
      <c r="D26" s="31" t="s">
        <v>61</v>
      </c>
      <c r="E26" s="32"/>
      <c r="F26" s="1"/>
      <c r="G26" s="1"/>
      <c r="H26" s="1"/>
    </row>
    <row r="27">
      <c r="B27" s="30" t="s">
        <v>26</v>
      </c>
      <c r="C27" s="31" t="s">
        <v>106</v>
      </c>
      <c r="D27" s="31" t="s">
        <v>107</v>
      </c>
      <c r="E27" s="32"/>
      <c r="F27" s="1"/>
      <c r="G27" s="1"/>
      <c r="H27" s="1"/>
    </row>
    <row r="28">
      <c r="B28" s="30" t="s">
        <v>32</v>
      </c>
      <c r="C28" s="31" t="s">
        <v>109</v>
      </c>
      <c r="D28" s="31" t="s">
        <v>66</v>
      </c>
      <c r="E28" s="32"/>
      <c r="F28" s="1"/>
      <c r="G28" s="1"/>
      <c r="H28" s="1"/>
    </row>
    <row r="29">
      <c r="B29" s="30" t="s">
        <v>36</v>
      </c>
      <c r="C29" s="31" t="s">
        <v>86</v>
      </c>
      <c r="D29" s="31" t="s">
        <v>50</v>
      </c>
      <c r="E29" s="32"/>
      <c r="F29" s="9"/>
      <c r="G29" s="9"/>
      <c r="H29" s="1"/>
    </row>
    <row r="30">
      <c r="B30" s="30" t="s">
        <v>38</v>
      </c>
      <c r="C30" s="31" t="s">
        <v>111</v>
      </c>
      <c r="D30" s="31" t="s">
        <v>42</v>
      </c>
      <c r="E30" s="32"/>
      <c r="F30" s="1"/>
      <c r="G30" s="1"/>
      <c r="H30" s="1"/>
    </row>
    <row r="31">
      <c r="B31" s="30" t="s">
        <v>45</v>
      </c>
      <c r="C31" s="31" t="s">
        <v>112</v>
      </c>
      <c r="D31" s="31" t="s">
        <v>35</v>
      </c>
      <c r="E31" s="32"/>
      <c r="F31" s="1"/>
      <c r="G31" s="1"/>
      <c r="H31" s="33" t="s">
        <v>8</v>
      </c>
    </row>
    <row r="32">
      <c r="B32" s="30" t="s">
        <v>52</v>
      </c>
      <c r="C32" s="31" t="s">
        <v>113</v>
      </c>
      <c r="D32" s="31" t="s">
        <v>107</v>
      </c>
      <c r="E32" s="32"/>
      <c r="F32" s="1"/>
      <c r="G32" s="1"/>
      <c r="H32" s="1"/>
    </row>
    <row r="33">
      <c r="B33" s="30" t="s">
        <v>58</v>
      </c>
      <c r="C33" s="31" t="s">
        <v>98</v>
      </c>
      <c r="D33" s="31" t="s">
        <v>50</v>
      </c>
      <c r="E33" s="32"/>
      <c r="F33" s="1"/>
      <c r="G33" s="1"/>
      <c r="H33" s="1"/>
    </row>
    <row r="34">
      <c r="B34" s="30" t="s">
        <v>68</v>
      </c>
      <c r="C34" s="31" t="s">
        <v>114</v>
      </c>
      <c r="D34" s="31" t="s">
        <v>61</v>
      </c>
      <c r="E34" s="32"/>
      <c r="F34" s="1"/>
      <c r="G34" s="1"/>
      <c r="H34" s="1"/>
    </row>
    <row r="35">
      <c r="B35" s="34" t="s">
        <v>72</v>
      </c>
      <c r="C35" s="34"/>
      <c r="D35" s="34"/>
      <c r="E35" s="32"/>
      <c r="F35" s="1"/>
      <c r="G35" s="1"/>
      <c r="H35" s="1"/>
    </row>
    <row r="36">
      <c r="B36" s="34" t="s">
        <v>74</v>
      </c>
      <c r="C36" s="34"/>
      <c r="D36" s="34"/>
      <c r="E36" s="32"/>
      <c r="F36" s="1"/>
      <c r="G36" s="1"/>
      <c r="H36" s="1"/>
    </row>
    <row r="37">
      <c r="B37" s="36" t="s">
        <v>78</v>
      </c>
      <c r="C37" s="30"/>
      <c r="D37" s="30"/>
      <c r="E37" s="37"/>
      <c r="F37" s="1"/>
      <c r="G37" s="1"/>
      <c r="H37" s="1" t="s">
        <v>118</v>
      </c>
    </row>
    <row r="38">
      <c r="A38" s="38" t="s">
        <v>51</v>
      </c>
      <c r="B38" s="39" t="s">
        <v>10</v>
      </c>
      <c r="C38" s="40" t="s">
        <v>119</v>
      </c>
      <c r="D38" s="40" t="s">
        <v>71</v>
      </c>
      <c r="E38" s="41"/>
      <c r="F38" s="1"/>
      <c r="G38" s="1"/>
      <c r="H38" s="1" t="s">
        <v>121</v>
      </c>
    </row>
    <row r="39">
      <c r="B39" s="39" t="s">
        <v>26</v>
      </c>
      <c r="C39" s="40" t="s">
        <v>123</v>
      </c>
      <c r="D39" s="40" t="s">
        <v>35</v>
      </c>
      <c r="E39" s="41"/>
      <c r="F39" s="1"/>
      <c r="G39" s="1"/>
      <c r="H39" s="1" t="s">
        <v>124</v>
      </c>
    </row>
    <row r="40">
      <c r="B40" s="39" t="s">
        <v>32</v>
      </c>
      <c r="C40" s="40" t="s">
        <v>125</v>
      </c>
      <c r="D40" s="40" t="s">
        <v>43</v>
      </c>
      <c r="E40" s="41"/>
      <c r="F40" s="1"/>
      <c r="G40" s="1"/>
      <c r="H40" s="1"/>
    </row>
    <row r="41">
      <c r="B41" s="39" t="s">
        <v>36</v>
      </c>
      <c r="C41" s="40" t="s">
        <v>128</v>
      </c>
      <c r="D41" s="40" t="s">
        <v>129</v>
      </c>
      <c r="E41" s="41"/>
      <c r="F41" s="1"/>
      <c r="G41" s="1"/>
      <c r="H41" s="1"/>
    </row>
    <row r="42">
      <c r="B42" s="39" t="s">
        <v>38</v>
      </c>
      <c r="C42" s="40" t="s">
        <v>41</v>
      </c>
      <c r="D42" s="40" t="s">
        <v>42</v>
      </c>
      <c r="E42" s="41"/>
      <c r="F42" s="1"/>
      <c r="G42" s="1"/>
      <c r="H42" s="1" t="s">
        <v>132</v>
      </c>
    </row>
    <row r="43">
      <c r="B43" s="39" t="s">
        <v>45</v>
      </c>
      <c r="C43" s="40" t="s">
        <v>130</v>
      </c>
      <c r="D43" s="40" t="s">
        <v>30</v>
      </c>
      <c r="E43" s="41"/>
      <c r="F43" s="1"/>
      <c r="G43" s="1"/>
      <c r="H43" s="1"/>
    </row>
    <row r="44">
      <c r="B44" s="39" t="s">
        <v>52</v>
      </c>
      <c r="C44" s="40" t="s">
        <v>135</v>
      </c>
      <c r="D44" s="40" t="s">
        <v>56</v>
      </c>
      <c r="E44" s="41"/>
      <c r="F44" s="1"/>
      <c r="G44" s="1"/>
      <c r="H44" s="1"/>
    </row>
    <row r="45">
      <c r="B45" s="39" t="s">
        <v>58</v>
      </c>
      <c r="C45" s="40" t="s">
        <v>136</v>
      </c>
      <c r="D45" s="40" t="s">
        <v>129</v>
      </c>
      <c r="E45" s="41"/>
      <c r="F45" s="10"/>
      <c r="G45" s="1"/>
      <c r="H45" s="1" t="s">
        <v>138</v>
      </c>
    </row>
    <row r="46">
      <c r="B46" s="39" t="s">
        <v>68</v>
      </c>
      <c r="C46" s="40" t="s">
        <v>140</v>
      </c>
      <c r="D46" s="40" t="s">
        <v>56</v>
      </c>
      <c r="E46" s="41"/>
      <c r="F46" s="1"/>
      <c r="G46" s="1"/>
      <c r="H46" s="9">
        <f>(SUM(E2:E10) + SUM(E14:E22) + SUM(E26:E34) + SUM(E38:E46)) / 4</f>
        <v>0</v>
      </c>
    </row>
    <row r="47">
      <c r="B47" s="42" t="s">
        <v>72</v>
      </c>
      <c r="C47" s="42"/>
      <c r="D47" s="42"/>
      <c r="E47" s="41"/>
      <c r="F47" s="1"/>
      <c r="G47" s="1"/>
      <c r="H47" s="9"/>
    </row>
    <row r="48">
      <c r="B48" s="42" t="s">
        <v>74</v>
      </c>
      <c r="C48" s="42"/>
      <c r="D48" s="42"/>
      <c r="E48" s="41"/>
      <c r="F48" s="10"/>
      <c r="G48" s="1"/>
      <c r="H48" s="9"/>
    </row>
    <row r="49">
      <c r="B49" s="43" t="s">
        <v>78</v>
      </c>
      <c r="C49" s="39"/>
      <c r="D49" s="39"/>
      <c r="E49" s="44"/>
      <c r="F49" s="1"/>
      <c r="G49" s="1"/>
      <c r="H49" s="1"/>
    </row>
  </sheetData>
  <autoFilter ref="$A$1:$H$49"/>
  <mergeCells count="4">
    <mergeCell ref="A2:A13"/>
    <mergeCell ref="A14:A25"/>
    <mergeCell ref="A26:A37"/>
    <mergeCell ref="A38:A49"/>
  </mergeCells>
  <hyperlinks>
    <hyperlink r:id="rId1" ref="I1"/>
    <hyperlink r:id="rId2" ref="H3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17.0"/>
    <col customWidth="1" min="6" max="7" width="16.88"/>
    <col customWidth="1" min="9" max="9" width="15.13"/>
  </cols>
  <sheetData>
    <row r="1">
      <c r="A1" s="1"/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J1" s="3" t="s">
        <v>7</v>
      </c>
      <c r="K1" s="11" t="s">
        <v>8</v>
      </c>
    </row>
    <row r="2">
      <c r="A2" s="4" t="s">
        <v>9</v>
      </c>
      <c r="B2" s="5" t="s">
        <v>10</v>
      </c>
      <c r="C2" s="6" t="s">
        <v>41</v>
      </c>
      <c r="D2" s="6" t="s">
        <v>42</v>
      </c>
      <c r="E2" s="7"/>
      <c r="F2" s="7"/>
      <c r="G2" s="7"/>
      <c r="J2" s="1" t="s">
        <v>31</v>
      </c>
    </row>
    <row r="3">
      <c r="B3" s="5" t="s">
        <v>26</v>
      </c>
      <c r="C3" s="6" t="s">
        <v>49</v>
      </c>
      <c r="D3" s="6" t="s">
        <v>50</v>
      </c>
      <c r="E3" s="7"/>
      <c r="F3" s="7"/>
      <c r="G3" s="7"/>
      <c r="J3" s="1"/>
    </row>
    <row r="4">
      <c r="B4" s="5" t="s">
        <v>32</v>
      </c>
      <c r="C4" s="6" t="s">
        <v>53</v>
      </c>
      <c r="D4" s="6" t="s">
        <v>56</v>
      </c>
      <c r="E4" s="7"/>
      <c r="F4" s="7"/>
      <c r="G4" s="7"/>
      <c r="H4" s="13" t="s">
        <v>60</v>
      </c>
      <c r="J4" s="10"/>
    </row>
    <row r="5">
      <c r="B5" s="5" t="s">
        <v>36</v>
      </c>
      <c r="C5" s="12" t="s">
        <v>65</v>
      </c>
      <c r="D5" s="12" t="s">
        <v>67</v>
      </c>
      <c r="E5" s="7"/>
      <c r="F5" s="7"/>
      <c r="G5" s="7"/>
      <c r="J5" s="10" t="s">
        <v>44</v>
      </c>
    </row>
    <row r="6">
      <c r="B6" s="5" t="s">
        <v>38</v>
      </c>
      <c r="C6" s="6" t="s">
        <v>70</v>
      </c>
      <c r="D6" s="6" t="s">
        <v>67</v>
      </c>
      <c r="E6" s="7"/>
      <c r="F6" s="7"/>
      <c r="G6" s="7"/>
      <c r="J6" s="10" t="s">
        <v>48</v>
      </c>
      <c r="K6" s="13" t="s">
        <v>9</v>
      </c>
      <c r="L6" s="13" t="s">
        <v>51</v>
      </c>
      <c r="M6" s="13" t="s">
        <v>24</v>
      </c>
    </row>
    <row r="7">
      <c r="B7" s="5" t="s">
        <v>45</v>
      </c>
      <c r="C7" s="6" t="s">
        <v>77</v>
      </c>
      <c r="D7" s="6" t="s">
        <v>66</v>
      </c>
      <c r="E7" s="7"/>
      <c r="F7" s="7"/>
      <c r="G7" s="7"/>
    </row>
    <row r="8">
      <c r="B8" s="5" t="s">
        <v>52</v>
      </c>
      <c r="C8" s="6" t="s">
        <v>79</v>
      </c>
      <c r="D8" s="6" t="s">
        <v>30</v>
      </c>
      <c r="E8" s="7"/>
      <c r="F8" s="7"/>
      <c r="G8" s="7"/>
      <c r="J8" s="1"/>
    </row>
    <row r="9">
      <c r="B9" s="5" t="s">
        <v>58</v>
      </c>
      <c r="C9" s="6" t="s">
        <v>80</v>
      </c>
      <c r="D9" s="6" t="s">
        <v>42</v>
      </c>
      <c r="E9" s="7"/>
      <c r="F9" s="7"/>
      <c r="G9" s="7"/>
      <c r="J9" s="1"/>
    </row>
    <row r="10">
      <c r="B10" s="5" t="s">
        <v>68</v>
      </c>
      <c r="C10" s="6" t="s">
        <v>76</v>
      </c>
      <c r="D10" s="6" t="s">
        <v>50</v>
      </c>
      <c r="E10" s="7"/>
      <c r="F10" s="7"/>
      <c r="G10" s="7"/>
      <c r="J10" s="1"/>
    </row>
    <row r="11">
      <c r="B11" s="15" t="s">
        <v>78</v>
      </c>
      <c r="C11" s="5"/>
      <c r="D11" s="5"/>
      <c r="E11" s="7"/>
      <c r="F11" s="17"/>
      <c r="G11" s="17"/>
      <c r="J11" s="1"/>
    </row>
    <row r="12">
      <c r="A12" s="18" t="s">
        <v>81</v>
      </c>
      <c r="B12" s="19" t="s">
        <v>10</v>
      </c>
      <c r="C12" s="20" t="s">
        <v>82</v>
      </c>
      <c r="D12" s="20" t="s">
        <v>66</v>
      </c>
      <c r="E12" s="21"/>
      <c r="F12" s="21"/>
      <c r="G12" s="21"/>
      <c r="J12" s="1"/>
    </row>
    <row r="13">
      <c r="B13" s="19" t="s">
        <v>26</v>
      </c>
      <c r="C13" s="20" t="s">
        <v>29</v>
      </c>
      <c r="D13" s="20" t="s">
        <v>30</v>
      </c>
      <c r="E13" s="21"/>
      <c r="F13" s="21"/>
      <c r="G13" s="21"/>
      <c r="J13" s="1"/>
    </row>
    <row r="14">
      <c r="B14" s="19" t="s">
        <v>32</v>
      </c>
      <c r="C14" s="20" t="s">
        <v>40</v>
      </c>
      <c r="D14" s="20" t="s">
        <v>89</v>
      </c>
      <c r="E14" s="21"/>
      <c r="F14" s="21"/>
      <c r="G14" s="21"/>
      <c r="J14" s="1"/>
    </row>
    <row r="15">
      <c r="B15" s="19" t="s">
        <v>36</v>
      </c>
      <c r="C15" s="20" t="s">
        <v>91</v>
      </c>
      <c r="D15" s="20" t="s">
        <v>30</v>
      </c>
      <c r="E15" s="21"/>
      <c r="F15" s="21"/>
      <c r="G15" s="21"/>
      <c r="I15" s="3" t="s">
        <v>87</v>
      </c>
      <c r="J15" s="1"/>
    </row>
    <row r="16">
      <c r="B16" s="19" t="s">
        <v>38</v>
      </c>
      <c r="C16" s="24" t="s">
        <v>94</v>
      </c>
      <c r="D16" s="20" t="s">
        <v>66</v>
      </c>
      <c r="E16" s="21"/>
      <c r="F16" s="21"/>
      <c r="G16" s="21"/>
      <c r="I16" s="23">
        <v>45789.0</v>
      </c>
      <c r="J16" s="1"/>
    </row>
    <row r="17">
      <c r="B17" s="19" t="s">
        <v>45</v>
      </c>
      <c r="C17" s="24" t="s">
        <v>92</v>
      </c>
      <c r="D17" s="24" t="s">
        <v>89</v>
      </c>
      <c r="E17" s="21"/>
      <c r="F17" s="21"/>
      <c r="G17" s="21"/>
      <c r="I17" s="1"/>
      <c r="J17" s="1"/>
    </row>
    <row r="18">
      <c r="B18" s="19" t="s">
        <v>52</v>
      </c>
      <c r="C18" s="20" t="s">
        <v>100</v>
      </c>
      <c r="D18" s="20" t="s">
        <v>67</v>
      </c>
      <c r="E18" s="21"/>
      <c r="F18" s="21"/>
      <c r="G18" s="21"/>
      <c r="I18" s="3" t="s">
        <v>96</v>
      </c>
      <c r="J18" s="1"/>
    </row>
    <row r="19">
      <c r="B19" s="19" t="s">
        <v>58</v>
      </c>
      <c r="C19" s="20" t="s">
        <v>102</v>
      </c>
      <c r="D19" s="20" t="s">
        <v>56</v>
      </c>
      <c r="E19" s="21"/>
      <c r="F19" s="21"/>
      <c r="G19" s="21"/>
      <c r="I19" s="9">
        <f>MAX(E11, E21, E31, E41)</f>
        <v>0</v>
      </c>
      <c r="J19" s="1"/>
    </row>
    <row r="20">
      <c r="B20" s="19" t="s">
        <v>68</v>
      </c>
      <c r="C20" s="20" t="s">
        <v>99</v>
      </c>
      <c r="D20" s="20" t="s">
        <v>66</v>
      </c>
      <c r="E20" s="21"/>
      <c r="F20" s="21"/>
      <c r="G20" s="21"/>
      <c r="I20" s="1"/>
      <c r="J20" s="1"/>
    </row>
    <row r="21">
      <c r="B21" s="27" t="s">
        <v>78</v>
      </c>
      <c r="C21" s="19"/>
      <c r="D21" s="19"/>
      <c r="E21" s="21"/>
      <c r="F21" s="28"/>
      <c r="G21" s="28"/>
      <c r="I21" s="3" t="s">
        <v>104</v>
      </c>
      <c r="J21" s="1"/>
    </row>
    <row r="22">
      <c r="A22" s="29" t="s">
        <v>105</v>
      </c>
      <c r="B22" s="30" t="s">
        <v>10</v>
      </c>
      <c r="C22" s="31" t="s">
        <v>84</v>
      </c>
      <c r="D22" s="31" t="s">
        <v>30</v>
      </c>
      <c r="E22" s="32"/>
      <c r="F22" s="32"/>
      <c r="G22" s="32"/>
      <c r="I22" s="1" t="str">
        <f t="array" ref="I22">INDIRECT(ADDRESS(1+MATCH(I19, E11:E41, 0), 1))</f>
        <v>#N/A</v>
      </c>
      <c r="J22" s="1"/>
    </row>
    <row r="23">
      <c r="B23" s="30" t="s">
        <v>26</v>
      </c>
      <c r="C23" s="31" t="s">
        <v>120</v>
      </c>
      <c r="D23" s="31" t="s">
        <v>50</v>
      </c>
      <c r="E23" s="32"/>
      <c r="F23" s="32"/>
      <c r="G23" s="32"/>
      <c r="J23" s="1"/>
    </row>
    <row r="24">
      <c r="B24" s="30" t="s">
        <v>32</v>
      </c>
      <c r="C24" s="31" t="s">
        <v>122</v>
      </c>
      <c r="D24" s="31" t="s">
        <v>66</v>
      </c>
      <c r="E24" s="32"/>
      <c r="F24" s="32"/>
      <c r="G24" s="32"/>
      <c r="J24" s="1"/>
    </row>
    <row r="25">
      <c r="B25" s="30" t="s">
        <v>36</v>
      </c>
      <c r="C25" s="31" t="s">
        <v>86</v>
      </c>
      <c r="D25" s="31" t="s">
        <v>50</v>
      </c>
      <c r="E25" s="32"/>
      <c r="F25" s="32"/>
      <c r="G25" s="32"/>
      <c r="J25" s="1"/>
    </row>
    <row r="26">
      <c r="B26" s="30" t="s">
        <v>38</v>
      </c>
      <c r="C26" s="31" t="s">
        <v>127</v>
      </c>
      <c r="D26" s="31" t="s">
        <v>50</v>
      </c>
      <c r="E26" s="32"/>
      <c r="F26" s="32"/>
      <c r="G26" s="32"/>
      <c r="J26" s="1"/>
    </row>
    <row r="27">
      <c r="B27" s="30" t="s">
        <v>45</v>
      </c>
      <c r="C27" s="31" t="s">
        <v>130</v>
      </c>
      <c r="D27" s="31" t="s">
        <v>30</v>
      </c>
      <c r="E27" s="32"/>
      <c r="F27" s="32"/>
      <c r="G27" s="32"/>
      <c r="J27" s="33" t="s">
        <v>8</v>
      </c>
    </row>
    <row r="28">
      <c r="B28" s="30" t="s">
        <v>52</v>
      </c>
      <c r="C28" s="31" t="s">
        <v>133</v>
      </c>
      <c r="D28" s="31" t="s">
        <v>56</v>
      </c>
      <c r="E28" s="32"/>
      <c r="F28" s="32"/>
      <c r="G28" s="32"/>
      <c r="J28" s="1"/>
    </row>
    <row r="29">
      <c r="B29" s="30" t="s">
        <v>58</v>
      </c>
      <c r="C29" s="31" t="s">
        <v>137</v>
      </c>
      <c r="D29" s="31" t="s">
        <v>42</v>
      </c>
      <c r="E29" s="32"/>
      <c r="F29" s="32"/>
      <c r="G29" s="32"/>
      <c r="J29" s="1"/>
    </row>
    <row r="30">
      <c r="B30" s="30" t="s">
        <v>68</v>
      </c>
      <c r="C30" s="31" t="s">
        <v>139</v>
      </c>
      <c r="D30" s="31" t="s">
        <v>42</v>
      </c>
      <c r="E30" s="32"/>
      <c r="F30" s="32"/>
      <c r="G30" s="32"/>
      <c r="J30" s="1"/>
    </row>
    <row r="31">
      <c r="B31" s="36" t="s">
        <v>78</v>
      </c>
      <c r="C31" s="30"/>
      <c r="D31" s="30"/>
      <c r="E31" s="32"/>
      <c r="F31" s="37"/>
      <c r="G31" s="37"/>
      <c r="J31" s="1" t="s">
        <v>118</v>
      </c>
    </row>
    <row r="32">
      <c r="A32" s="38" t="s">
        <v>51</v>
      </c>
      <c r="B32" s="39" t="s">
        <v>10</v>
      </c>
      <c r="C32" s="40" t="s">
        <v>109</v>
      </c>
      <c r="D32" s="40" t="s">
        <v>66</v>
      </c>
      <c r="E32" s="41"/>
      <c r="F32" s="41"/>
      <c r="G32" s="41"/>
      <c r="J32" s="1" t="s">
        <v>121</v>
      </c>
    </row>
    <row r="33">
      <c r="B33" s="39" t="s">
        <v>26</v>
      </c>
      <c r="C33" s="40" t="s">
        <v>125</v>
      </c>
      <c r="D33" s="40" t="s">
        <v>89</v>
      </c>
      <c r="E33" s="41"/>
      <c r="F33" s="41"/>
      <c r="G33" s="41"/>
      <c r="J33" s="1" t="s">
        <v>124</v>
      </c>
    </row>
    <row r="34">
      <c r="B34" s="39" t="s">
        <v>32</v>
      </c>
      <c r="C34" s="40" t="s">
        <v>111</v>
      </c>
      <c r="D34" s="40" t="s">
        <v>42</v>
      </c>
      <c r="E34" s="41"/>
      <c r="F34" s="41"/>
      <c r="G34" s="41"/>
      <c r="J34" s="1"/>
    </row>
    <row r="35">
      <c r="B35" s="39" t="s">
        <v>36</v>
      </c>
      <c r="C35" s="40" t="s">
        <v>144</v>
      </c>
      <c r="D35" s="40" t="s">
        <v>56</v>
      </c>
      <c r="E35" s="41"/>
      <c r="F35" s="41"/>
      <c r="G35" s="41"/>
      <c r="J35" s="1"/>
    </row>
    <row r="36">
      <c r="B36" s="39" t="s">
        <v>38</v>
      </c>
      <c r="C36" s="40" t="s">
        <v>145</v>
      </c>
      <c r="D36" s="40" t="s">
        <v>42</v>
      </c>
      <c r="E36" s="41"/>
      <c r="F36" s="41"/>
      <c r="G36" s="41"/>
      <c r="J36" s="1" t="s">
        <v>132</v>
      </c>
    </row>
    <row r="37">
      <c r="B37" s="39" t="s">
        <v>45</v>
      </c>
      <c r="C37" s="40" t="s">
        <v>64</v>
      </c>
      <c r="D37" s="40" t="s">
        <v>66</v>
      </c>
      <c r="E37" s="41"/>
      <c r="F37" s="41"/>
      <c r="G37" s="41"/>
      <c r="J37" s="10"/>
    </row>
    <row r="38">
      <c r="B38" s="39" t="s">
        <v>52</v>
      </c>
      <c r="C38" s="40" t="s">
        <v>135</v>
      </c>
      <c r="D38" s="40" t="s">
        <v>56</v>
      </c>
      <c r="E38" s="41"/>
      <c r="F38" s="41"/>
      <c r="G38" s="41"/>
      <c r="H38" s="13" t="s">
        <v>60</v>
      </c>
      <c r="J38" s="1"/>
    </row>
    <row r="39">
      <c r="B39" s="39" t="s">
        <v>58</v>
      </c>
      <c r="C39" s="40" t="s">
        <v>146</v>
      </c>
      <c r="D39" s="40" t="s">
        <v>67</v>
      </c>
      <c r="E39" s="41"/>
      <c r="F39" s="41"/>
      <c r="G39" s="41"/>
      <c r="J39" s="10" t="s">
        <v>147</v>
      </c>
    </row>
    <row r="40">
      <c r="B40" s="39" t="s">
        <v>68</v>
      </c>
      <c r="C40" s="40" t="s">
        <v>148</v>
      </c>
      <c r="D40" s="40" t="s">
        <v>56</v>
      </c>
      <c r="E40" s="41"/>
      <c r="F40" s="41"/>
      <c r="G40" s="41"/>
      <c r="J40" s="9">
        <f>(SUM(E2:E10) + SUM(E12:E20) + SUM(E22:E30) + SUM(E32:E40)) / 4</f>
        <v>0</v>
      </c>
    </row>
    <row r="41">
      <c r="B41" s="43" t="s">
        <v>78</v>
      </c>
      <c r="C41" s="39"/>
      <c r="D41" s="39"/>
      <c r="E41" s="41"/>
      <c r="F41" s="44"/>
      <c r="G41" s="44"/>
      <c r="H41" s="1"/>
    </row>
  </sheetData>
  <autoFilter ref="$A$1:$G$41"/>
  <mergeCells count="4">
    <mergeCell ref="A2:A11"/>
    <mergeCell ref="A12:A21"/>
    <mergeCell ref="A22:A31"/>
    <mergeCell ref="A32:A41"/>
  </mergeCells>
  <hyperlinks>
    <hyperlink r:id="rId1" ref="K1"/>
    <hyperlink r:id="rId2" ref="J2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14.5"/>
    <col customWidth="1" min="6" max="7" width="16.88"/>
    <col customWidth="1" min="9" max="9" width="13.13"/>
  </cols>
  <sheetData>
    <row r="1">
      <c r="A1" s="2"/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J1" s="3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7">
        <f t="shared" ref="E2:E12" si="1">G2 - F2</f>
        <v>17</v>
      </c>
      <c r="F2" s="7">
        <v>16.0</v>
      </c>
      <c r="G2" s="7">
        <v>33.0</v>
      </c>
      <c r="J2" s="3" t="s">
        <v>7</v>
      </c>
      <c r="K2" s="11" t="s">
        <v>8</v>
      </c>
    </row>
    <row r="3">
      <c r="B3" s="5" t="s">
        <v>26</v>
      </c>
      <c r="C3" s="6" t="s">
        <v>27</v>
      </c>
      <c r="D3" s="6" t="s">
        <v>28</v>
      </c>
      <c r="E3" s="7">
        <f t="shared" si="1"/>
        <v>7</v>
      </c>
      <c r="F3" s="7">
        <v>12.0</v>
      </c>
      <c r="G3" s="7">
        <v>19.0</v>
      </c>
      <c r="J3" s="1" t="s">
        <v>31</v>
      </c>
    </row>
    <row r="4">
      <c r="B4" s="5" t="s">
        <v>32</v>
      </c>
      <c r="C4" s="6" t="s">
        <v>33</v>
      </c>
      <c r="D4" s="6" t="s">
        <v>28</v>
      </c>
      <c r="E4" s="7">
        <f t="shared" si="1"/>
        <v>12</v>
      </c>
      <c r="F4" s="7">
        <v>11.0</v>
      </c>
      <c r="G4" s="7">
        <v>23.0</v>
      </c>
      <c r="J4" s="1"/>
    </row>
    <row r="5">
      <c r="B5" s="5" t="s">
        <v>36</v>
      </c>
      <c r="C5" s="6" t="s">
        <v>37</v>
      </c>
      <c r="D5" s="6" t="s">
        <v>28</v>
      </c>
      <c r="E5" s="7">
        <f t="shared" si="1"/>
        <v>12</v>
      </c>
      <c r="F5" s="7">
        <v>10.0</v>
      </c>
      <c r="G5" s="7">
        <v>22.0</v>
      </c>
      <c r="J5" s="10"/>
    </row>
    <row r="6">
      <c r="B6" s="5" t="s">
        <v>38</v>
      </c>
      <c r="C6" s="6" t="s">
        <v>39</v>
      </c>
      <c r="D6" s="6" t="s">
        <v>12</v>
      </c>
      <c r="E6" s="7">
        <f t="shared" si="1"/>
        <v>5</v>
      </c>
      <c r="F6" s="7">
        <v>7.0</v>
      </c>
      <c r="G6" s="7">
        <v>12.0</v>
      </c>
      <c r="J6" s="10" t="s">
        <v>44</v>
      </c>
    </row>
    <row r="7">
      <c r="B7" s="5" t="s">
        <v>45</v>
      </c>
      <c r="C7" s="6" t="s">
        <v>46</v>
      </c>
      <c r="D7" s="6" t="s">
        <v>28</v>
      </c>
      <c r="E7" s="7">
        <f t="shared" si="1"/>
        <v>1</v>
      </c>
      <c r="F7" s="7">
        <v>4.0</v>
      </c>
      <c r="G7" s="7">
        <v>5.0</v>
      </c>
      <c r="J7" s="10" t="s">
        <v>48</v>
      </c>
      <c r="K7" s="13" t="s">
        <v>9</v>
      </c>
      <c r="L7" s="13" t="s">
        <v>51</v>
      </c>
      <c r="M7" s="13" t="s">
        <v>24</v>
      </c>
    </row>
    <row r="8">
      <c r="B8" s="5" t="s">
        <v>52</v>
      </c>
      <c r="C8" s="6" t="s">
        <v>54</v>
      </c>
      <c r="D8" s="6" t="s">
        <v>12</v>
      </c>
      <c r="E8" s="7">
        <f t="shared" si="1"/>
        <v>1</v>
      </c>
      <c r="F8" s="7">
        <v>3.0</v>
      </c>
      <c r="G8" s="7">
        <v>4.0</v>
      </c>
    </row>
    <row r="9">
      <c r="B9" s="5" t="s">
        <v>58</v>
      </c>
      <c r="C9" s="14" t="s">
        <v>62</v>
      </c>
      <c r="D9" s="14" t="s">
        <v>63</v>
      </c>
      <c r="E9" s="7">
        <f t="shared" si="1"/>
        <v>0</v>
      </c>
      <c r="F9" s="7">
        <v>4.0</v>
      </c>
      <c r="G9" s="7">
        <v>4.0</v>
      </c>
      <c r="J9" s="1"/>
    </row>
    <row r="10">
      <c r="B10" s="5" t="s">
        <v>68</v>
      </c>
      <c r="C10" s="6" t="s">
        <v>12</v>
      </c>
      <c r="D10" s="6" t="s">
        <v>12</v>
      </c>
      <c r="E10" s="7">
        <f t="shared" si="1"/>
        <v>14</v>
      </c>
      <c r="F10" s="7">
        <v>0.0</v>
      </c>
      <c r="G10" s="7">
        <v>14.0</v>
      </c>
      <c r="J10" s="1"/>
    </row>
    <row r="11">
      <c r="B11" s="6" t="s">
        <v>72</v>
      </c>
      <c r="C11" s="6" t="s">
        <v>73</v>
      </c>
      <c r="D11" s="6" t="s">
        <v>28</v>
      </c>
      <c r="E11" s="7">
        <f t="shared" si="1"/>
        <v>15</v>
      </c>
      <c r="F11" s="7">
        <v>8.0</v>
      </c>
      <c r="G11" s="7">
        <v>23.0</v>
      </c>
      <c r="J11" s="1"/>
    </row>
    <row r="12">
      <c r="B12" s="6" t="s">
        <v>74</v>
      </c>
      <c r="C12" s="14" t="s">
        <v>75</v>
      </c>
      <c r="D12" s="14" t="s">
        <v>63</v>
      </c>
      <c r="E12" s="7">
        <f t="shared" si="1"/>
        <v>0</v>
      </c>
      <c r="F12" s="7">
        <v>3.0</v>
      </c>
      <c r="G12" s="7">
        <v>3.0</v>
      </c>
      <c r="J12" s="1"/>
    </row>
    <row r="13">
      <c r="B13" s="15" t="s">
        <v>78</v>
      </c>
      <c r="C13" s="5"/>
      <c r="D13" s="5"/>
      <c r="E13" s="7">
        <f>sum(E2:E3) + sum(E5:E10) + E11 + 'Round 2'!E11</f>
        <v>72</v>
      </c>
      <c r="F13" s="17"/>
      <c r="G13" s="17"/>
      <c r="J13" s="1"/>
    </row>
    <row r="14">
      <c r="A14" s="18" t="s">
        <v>81</v>
      </c>
      <c r="B14" s="19" t="s">
        <v>10</v>
      </c>
      <c r="C14" s="20" t="s">
        <v>83</v>
      </c>
      <c r="D14" s="20" t="s">
        <v>12</v>
      </c>
      <c r="E14" s="21">
        <f t="shared" ref="E14:E24" si="2">G14 - F14</f>
        <v>16</v>
      </c>
      <c r="F14" s="21">
        <v>17.0</v>
      </c>
      <c r="G14" s="21">
        <v>33.0</v>
      </c>
      <c r="J14" s="1"/>
    </row>
    <row r="15">
      <c r="B15" s="19" t="s">
        <v>26</v>
      </c>
      <c r="C15" s="22" t="s">
        <v>86</v>
      </c>
      <c r="D15" s="22" t="s">
        <v>63</v>
      </c>
      <c r="E15" s="21">
        <f t="shared" si="2"/>
        <v>5</v>
      </c>
      <c r="F15" s="21">
        <v>10.0</v>
      </c>
      <c r="G15" s="21">
        <v>15.0</v>
      </c>
      <c r="J15" s="1"/>
    </row>
    <row r="16">
      <c r="B16" s="19" t="s">
        <v>32</v>
      </c>
      <c r="C16" s="20" t="s">
        <v>90</v>
      </c>
      <c r="D16" s="20" t="s">
        <v>12</v>
      </c>
      <c r="E16" s="21">
        <f t="shared" si="2"/>
        <v>11</v>
      </c>
      <c r="F16" s="21">
        <v>9.0</v>
      </c>
      <c r="G16" s="21">
        <v>20.0</v>
      </c>
      <c r="J16" s="1"/>
    </row>
    <row r="17">
      <c r="B17" s="19" t="s">
        <v>36</v>
      </c>
      <c r="C17" s="20" t="s">
        <v>93</v>
      </c>
      <c r="D17" s="20" t="s">
        <v>12</v>
      </c>
      <c r="E17" s="21">
        <f t="shared" si="2"/>
        <v>3</v>
      </c>
      <c r="F17" s="21">
        <v>8.0</v>
      </c>
      <c r="G17" s="21">
        <v>11.0</v>
      </c>
      <c r="J17" s="1"/>
    </row>
    <row r="18">
      <c r="B18" s="19" t="s">
        <v>38</v>
      </c>
      <c r="C18" s="24" t="s">
        <v>95</v>
      </c>
      <c r="D18" s="20" t="s">
        <v>12</v>
      </c>
      <c r="E18" s="21">
        <f t="shared" si="2"/>
        <v>7</v>
      </c>
      <c r="F18" s="21">
        <v>7.0</v>
      </c>
      <c r="G18" s="21">
        <v>14.0</v>
      </c>
      <c r="I18" s="3" t="s">
        <v>87</v>
      </c>
      <c r="J18" s="1"/>
    </row>
    <row r="19">
      <c r="B19" s="19" t="s">
        <v>45</v>
      </c>
      <c r="C19" s="25" t="s">
        <v>98</v>
      </c>
      <c r="D19" s="25" t="s">
        <v>63</v>
      </c>
      <c r="E19" s="21">
        <f t="shared" si="2"/>
        <v>2</v>
      </c>
      <c r="F19" s="21">
        <v>7.0</v>
      </c>
      <c r="G19" s="21">
        <v>9.0</v>
      </c>
      <c r="I19" s="23">
        <v>45802.0</v>
      </c>
      <c r="J19" s="1"/>
    </row>
    <row r="20">
      <c r="B20" s="19" t="s">
        <v>52</v>
      </c>
      <c r="C20" s="20" t="s">
        <v>101</v>
      </c>
      <c r="D20" s="20" t="s">
        <v>12</v>
      </c>
      <c r="E20" s="21">
        <f t="shared" si="2"/>
        <v>4</v>
      </c>
      <c r="F20" s="21">
        <v>4.0</v>
      </c>
      <c r="G20" s="21">
        <v>8.0</v>
      </c>
      <c r="I20" s="1"/>
      <c r="J20" s="1"/>
    </row>
    <row r="21">
      <c r="B21" s="19" t="s">
        <v>58</v>
      </c>
      <c r="C21" s="22" t="s">
        <v>97</v>
      </c>
      <c r="D21" s="22" t="s">
        <v>63</v>
      </c>
      <c r="E21" s="21">
        <f t="shared" si="2"/>
        <v>2</v>
      </c>
      <c r="F21" s="21">
        <v>3.0</v>
      </c>
      <c r="G21" s="21">
        <v>5.0</v>
      </c>
      <c r="I21" s="3" t="s">
        <v>96</v>
      </c>
      <c r="J21" s="1"/>
    </row>
    <row r="22">
      <c r="B22" s="19" t="s">
        <v>68</v>
      </c>
      <c r="C22" s="22" t="s">
        <v>63</v>
      </c>
      <c r="D22" s="22" t="s">
        <v>63</v>
      </c>
      <c r="E22" s="21">
        <f t="shared" si="2"/>
        <v>4</v>
      </c>
      <c r="F22" s="21">
        <v>0.0</v>
      </c>
      <c r="G22" s="21">
        <v>4.0</v>
      </c>
      <c r="I22" s="9">
        <f>MAX(E13, E25, E37, E49)</f>
        <v>72</v>
      </c>
      <c r="J22" s="1"/>
    </row>
    <row r="23">
      <c r="B23" s="20" t="s">
        <v>72</v>
      </c>
      <c r="C23" s="20" t="s">
        <v>108</v>
      </c>
      <c r="D23" s="20" t="s">
        <v>12</v>
      </c>
      <c r="E23" s="21">
        <f t="shared" si="2"/>
        <v>2</v>
      </c>
      <c r="F23" s="21">
        <v>7.0</v>
      </c>
      <c r="G23" s="21">
        <v>9.0</v>
      </c>
      <c r="I23" s="1"/>
      <c r="J23" s="1"/>
    </row>
    <row r="24">
      <c r="B24" s="20" t="s">
        <v>74</v>
      </c>
      <c r="C24" s="20" t="s">
        <v>110</v>
      </c>
      <c r="D24" s="20" t="s">
        <v>12</v>
      </c>
      <c r="E24" s="21">
        <f t="shared" si="2"/>
        <v>3</v>
      </c>
      <c r="F24" s="21">
        <v>2.0</v>
      </c>
      <c r="G24" s="21">
        <v>5.0</v>
      </c>
      <c r="I24" s="1"/>
      <c r="J24" s="1"/>
    </row>
    <row r="25">
      <c r="B25" s="27" t="s">
        <v>78</v>
      </c>
      <c r="C25" s="19"/>
      <c r="D25" s="19"/>
      <c r="E25" s="21">
        <f>sum(E14:E16) + sum(E18:E22) + E23 + 'Round 2'!E21</f>
        <v>53</v>
      </c>
      <c r="F25" s="28"/>
      <c r="G25" s="28"/>
      <c r="I25" s="1"/>
      <c r="J25" s="1"/>
    </row>
    <row r="26">
      <c r="A26" s="29" t="s">
        <v>105</v>
      </c>
      <c r="B26" s="30" t="s">
        <v>10</v>
      </c>
      <c r="C26" s="31" t="s">
        <v>115</v>
      </c>
      <c r="D26" s="31" t="s">
        <v>28</v>
      </c>
      <c r="E26" s="32">
        <f t="shared" ref="E26:E36" si="3">G26 - F26</f>
        <v>8</v>
      </c>
      <c r="F26" s="32">
        <v>12.0</v>
      </c>
      <c r="G26" s="32">
        <v>20.0</v>
      </c>
      <c r="I26" s="3" t="s">
        <v>104</v>
      </c>
      <c r="J26" s="1"/>
    </row>
    <row r="27">
      <c r="B27" s="30" t="s">
        <v>26</v>
      </c>
      <c r="C27" s="35" t="s">
        <v>116</v>
      </c>
      <c r="D27" s="35" t="s">
        <v>117</v>
      </c>
      <c r="E27" s="32">
        <f t="shared" si="3"/>
        <v>2</v>
      </c>
      <c r="F27" s="32">
        <v>10.0</v>
      </c>
      <c r="G27" s="32">
        <v>12.0</v>
      </c>
      <c r="I27" s="1" t="str">
        <f t="array" ref="I27">INDIRECT(ADDRESS(1+MATCH(I22, E13:E49, 0), 1))</f>
        <v>Ben</v>
      </c>
      <c r="J27" s="1"/>
    </row>
    <row r="28">
      <c r="B28" s="30" t="s">
        <v>32</v>
      </c>
      <c r="C28" s="35" t="s">
        <v>126</v>
      </c>
      <c r="D28" s="35" t="s">
        <v>63</v>
      </c>
      <c r="E28" s="32">
        <f t="shared" si="3"/>
        <v>6</v>
      </c>
      <c r="F28" s="32">
        <v>10.0</v>
      </c>
      <c r="G28" s="32">
        <v>16.0</v>
      </c>
      <c r="J28" s="1"/>
    </row>
    <row r="29">
      <c r="B29" s="30" t="s">
        <v>36</v>
      </c>
      <c r="C29" s="31" t="s">
        <v>131</v>
      </c>
      <c r="D29" s="31" t="s">
        <v>28</v>
      </c>
      <c r="E29" s="32">
        <f t="shared" si="3"/>
        <v>8</v>
      </c>
      <c r="F29" s="32">
        <v>10.0</v>
      </c>
      <c r="G29" s="32">
        <v>18.0</v>
      </c>
      <c r="J29" s="1"/>
    </row>
    <row r="30">
      <c r="B30" s="30" t="s">
        <v>38</v>
      </c>
      <c r="C30" s="35" t="s">
        <v>134</v>
      </c>
      <c r="D30" s="35" t="s">
        <v>63</v>
      </c>
      <c r="E30" s="32">
        <f t="shared" si="3"/>
        <v>3</v>
      </c>
      <c r="F30" s="32">
        <v>9.0</v>
      </c>
      <c r="G30" s="32">
        <v>12.0</v>
      </c>
      <c r="J30" s="1"/>
    </row>
    <row r="31">
      <c r="B31" s="30" t="s">
        <v>45</v>
      </c>
      <c r="C31" s="31" t="s">
        <v>59</v>
      </c>
      <c r="D31" s="31" t="s">
        <v>12</v>
      </c>
      <c r="E31" s="32">
        <f t="shared" si="3"/>
        <v>11</v>
      </c>
      <c r="F31" s="32">
        <v>12.0</v>
      </c>
      <c r="G31" s="32">
        <v>23.0</v>
      </c>
      <c r="J31" s="1"/>
    </row>
    <row r="32">
      <c r="B32" s="30" t="s">
        <v>52</v>
      </c>
      <c r="C32" s="31" t="s">
        <v>141</v>
      </c>
      <c r="D32" s="31" t="s">
        <v>28</v>
      </c>
      <c r="E32" s="32">
        <f t="shared" si="3"/>
        <v>5</v>
      </c>
      <c r="F32" s="32">
        <v>7.0</v>
      </c>
      <c r="G32" s="32">
        <v>12.0</v>
      </c>
      <c r="J32" s="33" t="s">
        <v>8</v>
      </c>
    </row>
    <row r="33">
      <c r="B33" s="30" t="s">
        <v>58</v>
      </c>
      <c r="C33" s="31" t="s">
        <v>142</v>
      </c>
      <c r="D33" s="31" t="s">
        <v>28</v>
      </c>
      <c r="E33" s="32">
        <f t="shared" si="3"/>
        <v>3</v>
      </c>
      <c r="F33" s="32">
        <v>6.0</v>
      </c>
      <c r="G33" s="32">
        <v>9.0</v>
      </c>
      <c r="J33" s="1"/>
    </row>
    <row r="34">
      <c r="B34" s="30" t="s">
        <v>68</v>
      </c>
      <c r="C34" s="35" t="s">
        <v>117</v>
      </c>
      <c r="D34" s="35" t="s">
        <v>117</v>
      </c>
      <c r="E34" s="32">
        <f t="shared" si="3"/>
        <v>2</v>
      </c>
      <c r="F34" s="32">
        <v>0.0</v>
      </c>
      <c r="G34" s="32">
        <v>2.0</v>
      </c>
      <c r="J34" s="1"/>
    </row>
    <row r="35">
      <c r="B35" s="31" t="s">
        <v>72</v>
      </c>
      <c r="C35" s="35" t="s">
        <v>47</v>
      </c>
      <c r="D35" s="35" t="s">
        <v>117</v>
      </c>
      <c r="E35" s="32">
        <f t="shared" si="3"/>
        <v>2</v>
      </c>
      <c r="F35" s="32">
        <v>8.0</v>
      </c>
      <c r="G35" s="32">
        <v>10.0</v>
      </c>
      <c r="J35" s="1"/>
    </row>
    <row r="36">
      <c r="B36" s="31" t="s">
        <v>74</v>
      </c>
      <c r="C36" s="35" t="s">
        <v>143</v>
      </c>
      <c r="D36" s="35" t="s">
        <v>63</v>
      </c>
      <c r="E36" s="32">
        <f t="shared" si="3"/>
        <v>0</v>
      </c>
      <c r="F36" s="32">
        <v>4.0</v>
      </c>
      <c r="G36" s="32">
        <v>4.0</v>
      </c>
      <c r="J36" s="1"/>
    </row>
    <row r="37">
      <c r="B37" s="36" t="s">
        <v>78</v>
      </c>
      <c r="C37" s="30"/>
      <c r="D37" s="30"/>
      <c r="E37" s="32">
        <f>sum(E26:E34) + 'Round 2'!E31</f>
        <v>48</v>
      </c>
      <c r="F37" s="37"/>
      <c r="G37" s="37"/>
      <c r="J37" s="1"/>
    </row>
    <row r="38">
      <c r="A38" s="38" t="s">
        <v>51</v>
      </c>
      <c r="B38" s="39" t="s">
        <v>10</v>
      </c>
      <c r="C38" s="45" t="s">
        <v>123</v>
      </c>
      <c r="D38" s="45" t="s">
        <v>117</v>
      </c>
      <c r="E38" s="41">
        <f t="shared" ref="E38:E48" si="4">G38 - F38</f>
        <v>3</v>
      </c>
      <c r="F38" s="41">
        <v>19.0</v>
      </c>
      <c r="G38" s="41">
        <v>22.0</v>
      </c>
      <c r="J38" s="1" t="s">
        <v>118</v>
      </c>
    </row>
    <row r="39">
      <c r="B39" s="39" t="s">
        <v>26</v>
      </c>
      <c r="C39" s="40" t="s">
        <v>149</v>
      </c>
      <c r="D39" s="40" t="s">
        <v>28</v>
      </c>
      <c r="E39" s="41">
        <f t="shared" si="4"/>
        <v>14</v>
      </c>
      <c r="F39" s="41">
        <v>9.0</v>
      </c>
      <c r="G39" s="41">
        <v>23.0</v>
      </c>
      <c r="J39" s="1" t="s">
        <v>121</v>
      </c>
    </row>
    <row r="40">
      <c r="B40" s="39" t="s">
        <v>32</v>
      </c>
      <c r="C40" s="40" t="s">
        <v>150</v>
      </c>
      <c r="D40" s="40" t="s">
        <v>28</v>
      </c>
      <c r="E40" s="41">
        <f t="shared" si="4"/>
        <v>13</v>
      </c>
      <c r="F40" s="41">
        <v>9.0</v>
      </c>
      <c r="G40" s="41">
        <v>22.0</v>
      </c>
      <c r="J40" s="1" t="s">
        <v>124</v>
      </c>
    </row>
    <row r="41">
      <c r="B41" s="39" t="s">
        <v>36</v>
      </c>
      <c r="C41" s="45" t="s">
        <v>34</v>
      </c>
      <c r="D41" s="45" t="s">
        <v>117</v>
      </c>
      <c r="E41" s="41">
        <f t="shared" si="4"/>
        <v>5</v>
      </c>
      <c r="F41" s="41">
        <v>1.0</v>
      </c>
      <c r="G41" s="41">
        <v>6.0</v>
      </c>
      <c r="J41" s="1"/>
    </row>
    <row r="42">
      <c r="B42" s="39" t="s">
        <v>38</v>
      </c>
      <c r="C42" s="45" t="s">
        <v>151</v>
      </c>
      <c r="D42" s="45" t="s">
        <v>117</v>
      </c>
      <c r="E42" s="41">
        <f t="shared" si="4"/>
        <v>1</v>
      </c>
      <c r="F42" s="41">
        <v>5.0</v>
      </c>
      <c r="G42" s="41">
        <v>6.0</v>
      </c>
      <c r="J42" s="1"/>
    </row>
    <row r="43">
      <c r="B43" s="39" t="s">
        <v>45</v>
      </c>
      <c r="C43" s="45" t="s">
        <v>152</v>
      </c>
      <c r="D43" s="45" t="s">
        <v>117</v>
      </c>
      <c r="E43" s="41">
        <f t="shared" si="4"/>
        <v>3</v>
      </c>
      <c r="F43" s="41">
        <v>11.0</v>
      </c>
      <c r="G43" s="41">
        <v>14.0</v>
      </c>
      <c r="J43" s="1" t="s">
        <v>132</v>
      </c>
    </row>
    <row r="44">
      <c r="B44" s="39" t="s">
        <v>52</v>
      </c>
      <c r="C44" s="40" t="s">
        <v>153</v>
      </c>
      <c r="D44" s="40" t="s">
        <v>28</v>
      </c>
      <c r="E44" s="41">
        <f t="shared" si="4"/>
        <v>7</v>
      </c>
      <c r="F44" s="41">
        <v>6.0</v>
      </c>
      <c r="G44" s="41">
        <v>13.0</v>
      </c>
      <c r="J44" s="10"/>
    </row>
    <row r="45">
      <c r="B45" s="39" t="s">
        <v>58</v>
      </c>
      <c r="C45" s="45" t="s">
        <v>112</v>
      </c>
      <c r="D45" s="45" t="s">
        <v>117</v>
      </c>
      <c r="E45" s="41">
        <f t="shared" si="4"/>
        <v>2</v>
      </c>
      <c r="F45" s="41">
        <v>2.0</v>
      </c>
      <c r="G45" s="41">
        <v>4.0</v>
      </c>
      <c r="J45" s="1"/>
    </row>
    <row r="46">
      <c r="B46" s="39" t="s">
        <v>68</v>
      </c>
      <c r="C46" s="40" t="s">
        <v>28</v>
      </c>
      <c r="D46" s="40" t="s">
        <v>28</v>
      </c>
      <c r="E46" s="41">
        <f t="shared" si="4"/>
        <v>18</v>
      </c>
      <c r="F46" s="41">
        <v>0.0</v>
      </c>
      <c r="G46" s="41">
        <v>18.0</v>
      </c>
      <c r="J46" s="10" t="s">
        <v>154</v>
      </c>
    </row>
    <row r="47">
      <c r="B47" s="40" t="s">
        <v>72</v>
      </c>
      <c r="C47" s="45" t="s">
        <v>155</v>
      </c>
      <c r="D47" s="45" t="s">
        <v>117</v>
      </c>
      <c r="E47" s="41">
        <f t="shared" si="4"/>
        <v>3</v>
      </c>
      <c r="F47" s="41">
        <v>7.0</v>
      </c>
      <c r="G47" s="41">
        <v>10.0</v>
      </c>
      <c r="J47" s="9">
        <f>(SUM(E2:E10) + SUM(E14:E22) + SUM(E26:E34) + SUM(E38:E46)) / 4</f>
        <v>59.25</v>
      </c>
    </row>
    <row r="48">
      <c r="B48" s="40" t="s">
        <v>74</v>
      </c>
      <c r="C48" s="40" t="s">
        <v>156</v>
      </c>
      <c r="D48" s="40" t="s">
        <v>12</v>
      </c>
      <c r="E48" s="41">
        <f t="shared" si="4"/>
        <v>8</v>
      </c>
      <c r="F48" s="41">
        <v>2.0</v>
      </c>
      <c r="G48" s="41">
        <v>10.0</v>
      </c>
    </row>
    <row r="49">
      <c r="B49" s="43" t="s">
        <v>78</v>
      </c>
      <c r="C49" s="40"/>
      <c r="D49" s="39"/>
      <c r="E49" s="41">
        <f>sum(E38:E46) + 'Round 2'!E41</f>
        <v>66</v>
      </c>
      <c r="F49" s="44"/>
      <c r="G49" s="44"/>
    </row>
  </sheetData>
  <autoFilter ref="$A$1:$G$49"/>
  <mergeCells count="4">
    <mergeCell ref="A2:A13"/>
    <mergeCell ref="A14:A25"/>
    <mergeCell ref="A26:A37"/>
    <mergeCell ref="A38:A49"/>
  </mergeCells>
  <hyperlinks>
    <hyperlink r:id="rId1" ref="K2"/>
    <hyperlink r:id="rId2" ref="J3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0.63"/>
  </cols>
  <sheetData>
    <row r="1">
      <c r="A1" s="8" t="s">
        <v>13</v>
      </c>
      <c r="B1" s="8" t="s">
        <v>14</v>
      </c>
      <c r="C1" s="8" t="s">
        <v>15</v>
      </c>
    </row>
    <row r="2">
      <c r="A2" s="9">
        <v>2014.0</v>
      </c>
      <c r="B2" s="1"/>
      <c r="C2" s="1" t="s">
        <v>16</v>
      </c>
    </row>
    <row r="3">
      <c r="A3" s="9">
        <v>2015.0</v>
      </c>
      <c r="B3" s="1"/>
      <c r="C3" s="1" t="s">
        <v>17</v>
      </c>
    </row>
    <row r="4">
      <c r="A4" s="9">
        <v>2016.0</v>
      </c>
      <c r="B4" s="1"/>
      <c r="C4" s="1" t="s">
        <v>18</v>
      </c>
    </row>
    <row r="5">
      <c r="A5" s="9">
        <v>2017.0</v>
      </c>
      <c r="B5" s="1"/>
      <c r="C5" s="1" t="s">
        <v>18</v>
      </c>
    </row>
    <row r="6">
      <c r="A6" s="9">
        <v>2018.0</v>
      </c>
      <c r="B6" s="10" t="s">
        <v>9</v>
      </c>
      <c r="C6" s="1" t="s">
        <v>19</v>
      </c>
    </row>
    <row r="7">
      <c r="A7" s="9">
        <v>2019.0</v>
      </c>
      <c r="B7" s="10" t="s">
        <v>20</v>
      </c>
      <c r="C7" s="1" t="s">
        <v>21</v>
      </c>
    </row>
    <row r="8">
      <c r="A8" s="9">
        <v>2020.0</v>
      </c>
      <c r="B8" s="10" t="s">
        <v>20</v>
      </c>
      <c r="C8" s="1" t="s">
        <v>22</v>
      </c>
    </row>
    <row r="9">
      <c r="A9" s="9">
        <v>2021.0</v>
      </c>
      <c r="B9" s="10" t="s">
        <v>20</v>
      </c>
      <c r="C9" s="1" t="s">
        <v>22</v>
      </c>
    </row>
    <row r="10">
      <c r="A10" s="9">
        <v>2022.0</v>
      </c>
      <c r="B10" s="10" t="s">
        <v>20</v>
      </c>
      <c r="C10" s="1" t="s">
        <v>23</v>
      </c>
    </row>
    <row r="11">
      <c r="A11" s="9">
        <v>2023.0</v>
      </c>
      <c r="B11" s="1" t="s">
        <v>24</v>
      </c>
      <c r="C11" s="1" t="s">
        <v>25</v>
      </c>
    </row>
    <row r="12">
      <c r="A12" s="9">
        <v>2024.0</v>
      </c>
      <c r="B12" s="10" t="s">
        <v>20</v>
      </c>
      <c r="C12" s="1" t="s">
        <v>28</v>
      </c>
    </row>
    <row r="13">
      <c r="A13" s="9">
        <v>2025.0</v>
      </c>
      <c r="B13" s="10" t="s">
        <v>20</v>
      </c>
      <c r="C13" s="10" t="s">
        <v>28</v>
      </c>
    </row>
  </sheetData>
  <drawing r:id="rId1"/>
</worksheet>
</file>